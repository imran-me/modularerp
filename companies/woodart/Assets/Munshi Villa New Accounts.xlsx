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 all Accounts" sheetId="1" r:id="rId5"/>
    <sheet state="visible" name="Over All Cost Summary" sheetId="2" r:id="rId6"/>
    <sheet state="visible" name="Sheet22" sheetId="3" r:id="rId7"/>
    <sheet state="visible" name="Bricks &amp; Breaking" sheetId="4" r:id="rId8"/>
    <sheet state="visible" name="Cement" sheetId="5" r:id="rId9"/>
    <sheet state="visible" name="Rod" sheetId="6" r:id="rId10"/>
    <sheet state="visible" name="SandBali" sheetId="7" r:id="rId11"/>
    <sheet state="visible" name="HARDWARE" sheetId="8" r:id="rId12"/>
    <sheet state="visible" name="Sanitary" sheetId="9" r:id="rId13"/>
    <sheet state="visible" name="Soil Excavation &amp; Fill" sheetId="10" r:id="rId14"/>
    <sheet state="visible" name="Electrical" sheetId="11" r:id="rId15"/>
    <sheet state="visible" name="3D Design office" sheetId="12" r:id="rId16"/>
    <sheet state="visible" name="Transport &amp; Visit" sheetId="13" r:id="rId17"/>
    <sheet state="visible" name="Extra Labour" sheetId="14" r:id="rId18"/>
    <sheet state="visible" name="Younus Contactor" sheetId="15" r:id="rId19"/>
    <sheet state="visible" name="ExtraOthers Bill" sheetId="16" r:id="rId20"/>
    <sheet state="visible" name="Aluminium" sheetId="17" r:id="rId21"/>
    <sheet state="visible" name="Metal" sheetId="18" r:id="rId22"/>
    <sheet state="visible" name="Paint" sheetId="19" r:id="rId23"/>
    <sheet state="visible" name="Tiles Work" sheetId="20" r:id="rId24"/>
    <sheet state="visible" name="Wood Work" sheetId="21" r:id="rId25"/>
  </sheets>
  <definedNames/>
  <calcPr/>
</workbook>
</file>

<file path=xl/sharedStrings.xml><?xml version="1.0" encoding="utf-8"?>
<sst xmlns="http://schemas.openxmlformats.org/spreadsheetml/2006/main" count="487" uniqueCount="262">
  <si>
    <t>Bricks &amp; Breaking</t>
  </si>
  <si>
    <t>Munshi Villa-Duplex- Overall summary</t>
  </si>
  <si>
    <t>MUNSHI VILLA DUPLEX</t>
  </si>
  <si>
    <t>SL</t>
  </si>
  <si>
    <t>Date</t>
  </si>
  <si>
    <t>Description</t>
  </si>
  <si>
    <t>Quantity</t>
  </si>
  <si>
    <t>Rate Per Bricks</t>
  </si>
  <si>
    <t>Taka</t>
  </si>
  <si>
    <t>SL.NO</t>
  </si>
  <si>
    <t>NOTE</t>
  </si>
  <si>
    <t>Purpose</t>
  </si>
  <si>
    <t>Cost</t>
  </si>
  <si>
    <t>Budget</t>
  </si>
  <si>
    <t>DATE</t>
  </si>
  <si>
    <t>Cement</t>
  </si>
  <si>
    <t>REF. NAME</t>
  </si>
  <si>
    <t>PURPOSE</t>
  </si>
  <si>
    <t>TRANSPORT /LABOUR</t>
  </si>
  <si>
    <t>Sand/Bali</t>
  </si>
  <si>
    <t>31.03.2026</t>
  </si>
  <si>
    <t>Asia Bricks  - 1 Number</t>
  </si>
  <si>
    <t>BRICK (EIT) &amp; BREAKING</t>
  </si>
  <si>
    <t>CEMENT</t>
  </si>
  <si>
    <t>Rod</t>
  </si>
  <si>
    <t>ROD</t>
  </si>
  <si>
    <t>SAND (BALI)</t>
  </si>
  <si>
    <t>METARIALS</t>
  </si>
  <si>
    <t>SOIL TEST &amp; CUTTING</t>
  </si>
  <si>
    <t>Hardware</t>
  </si>
  <si>
    <t>RAJMISTRI CONTRACTOR</t>
  </si>
  <si>
    <t>OTHERS</t>
  </si>
  <si>
    <t>Sanitary</t>
  </si>
  <si>
    <t>HARDWARE</t>
  </si>
  <si>
    <t>ELECTRIC</t>
  </si>
  <si>
    <t>01.04.2026</t>
  </si>
  <si>
    <t>4,00,000</t>
  </si>
  <si>
    <t>LABOUR</t>
  </si>
  <si>
    <t>Soil Excavation &amp; Fill</t>
  </si>
  <si>
    <t>25.02.2026</t>
  </si>
  <si>
    <t>Electrical</t>
  </si>
  <si>
    <t>3,50,000</t>
  </si>
  <si>
    <t>02.04.2026</t>
  </si>
  <si>
    <t>Asia Bricks  - For Precket Breaking</t>
  </si>
  <si>
    <t>3D Design office</t>
  </si>
  <si>
    <t>Transport &amp; Visit</t>
  </si>
  <si>
    <t>06.14.2026</t>
  </si>
  <si>
    <t>1,00,000</t>
  </si>
  <si>
    <t>Extra Labour</t>
  </si>
  <si>
    <t>10K BRICKS BREAKING PURPOSE</t>
  </si>
  <si>
    <t>Younus Contactor</t>
  </si>
  <si>
    <t>13,44,000</t>
  </si>
  <si>
    <t>Extra/Others Bill</t>
  </si>
  <si>
    <t>27.06.2026</t>
  </si>
  <si>
    <t>3K BRICKS BUY &amp; BREAKING PURPOSE (HALAL)</t>
  </si>
  <si>
    <t>Tiles Work</t>
  </si>
  <si>
    <t>Paint</t>
  </si>
  <si>
    <t>27.02.2026</t>
  </si>
  <si>
    <t>MOHSIN BOSS</t>
  </si>
  <si>
    <t>Metal</t>
  </si>
  <si>
    <t>YOUNUS MIA RAJMISTRICONTRACTOR) CONTRUCATIONS</t>
  </si>
  <si>
    <t>Aluminium</t>
  </si>
  <si>
    <t>Wood Work</t>
  </si>
  <si>
    <t>28.02.2026</t>
  </si>
  <si>
    <t>NAYEEM</t>
  </si>
  <si>
    <t>MUNSHI BILLAH PROJECT SOIL TEST PURPOSE</t>
  </si>
  <si>
    <t>01-30.03.20226</t>
  </si>
  <si>
    <t>MARCH MONTH OVERALL TA/DA ALLOWANCE PURPOSE</t>
  </si>
  <si>
    <t>Note-Due</t>
  </si>
  <si>
    <t>Asia Bricks Purpose Due</t>
  </si>
  <si>
    <t>Helal Enterprise  Sand Purpose Due</t>
  </si>
  <si>
    <t>EMAN VAI</t>
  </si>
  <si>
    <t>BRICK PURPOSE (ASIA BRICKS)</t>
  </si>
  <si>
    <t>HAJI ENTERPRISE (ROD)</t>
  </si>
  <si>
    <t>TALIM  HARDWARE &amp; LABOUR</t>
  </si>
  <si>
    <t xml:space="preserve">Up to - 09.07.2026 </t>
  </si>
  <si>
    <t>09.07.2026 Porjonto Hisabe</t>
  </si>
  <si>
    <t>04.04.2026</t>
  </si>
  <si>
    <t>BSRM ROD PURPOSE (HAJI ENTERPRISE)</t>
  </si>
  <si>
    <t>05.04.2026</t>
  </si>
  <si>
    <t>RONY &amp; EMAN VAI</t>
  </si>
  <si>
    <t>RONY VAI IBBL A/C TRANSFER (ELECTRIC &amp; OTHERS COST)</t>
  </si>
  <si>
    <t>06.04.2026</t>
  </si>
  <si>
    <t>EMAN VAI BIKASH NUMBER EMAN VAI (BALTI, BONDNA, TIRPARL OTHERS COSTING</t>
  </si>
  <si>
    <t>MUNSHI BILLAH SITE (RONY VAI TO EMAN VAI) BRICK BREAKING &amp; OTHERS COST</t>
  </si>
  <si>
    <t>SCREN CEMENT PURPOSE (HAJI ENTERPRISE)</t>
  </si>
  <si>
    <t>09.04.2026 8 APR</t>
  </si>
  <si>
    <t>SL.N</t>
  </si>
  <si>
    <t>Details</t>
  </si>
  <si>
    <t>Rate</t>
  </si>
  <si>
    <t>Total Taka</t>
  </si>
  <si>
    <t>Amount</t>
  </si>
  <si>
    <t>Paid Taka</t>
  </si>
  <si>
    <t>Due Or Advance</t>
  </si>
  <si>
    <t>14.04, 16.04. 2026</t>
  </si>
  <si>
    <t>TOTAL AMOUN</t>
  </si>
  <si>
    <t>MUSHI BILLAH SITE- COSTIGN GIVEN UPDATE EMAN VAI (COSTING FROM MUNSHI) YOUNUS CONTRACTOR=16K, BAKU BILL=20K, DRAM &amp; LAYBOR SNACK=300</t>
  </si>
  <si>
    <t>Cement Purpose -Scan Cement</t>
  </si>
  <si>
    <t>200 Bags</t>
  </si>
  <si>
    <t>05.05.2026</t>
  </si>
  <si>
    <t>100 Bags</t>
  </si>
  <si>
    <t>19.04.2026</t>
  </si>
  <si>
    <t>BALI &amp; SELECTIONS PURPOSE HALAL ENTERPRISE</t>
  </si>
  <si>
    <t>BSRM ROD PURPOSE ( 16mm= 3200 kg, 8 mm= 500 kg, 12mm 200kg, 10mm 10 peice) with labour (HAJI ENTERPRISE)</t>
  </si>
  <si>
    <t>Cement Purpose -Scan Cement (HALAL)</t>
  </si>
  <si>
    <t>07 BAGS</t>
  </si>
  <si>
    <t>20.04.2026</t>
  </si>
  <si>
    <t>AZIZUL VAI</t>
  </si>
  <si>
    <t>DAILY COST (AZIZUL VAI MUNSHI BILLAH SITE VISIT PURPOSE)</t>
  </si>
  <si>
    <t>12.05.2026</t>
  </si>
  <si>
    <t>BSRM ROD PURPOSE( 8mm= 1984KG, 10mm= 4955KG) with labour (HALAL ENTERPRISE)</t>
  </si>
  <si>
    <t>21.06.2026</t>
  </si>
  <si>
    <t>BSRM ROD PURPOSE (16mm= 1402.3 Kg, 12 mm=356.2 Kg, 8mm= 504.5 Kg) With Labour Fee (HAJI ENTERPRISE)</t>
  </si>
  <si>
    <t>2263 KG</t>
  </si>
  <si>
    <t>23.06.2026</t>
  </si>
  <si>
    <t xml:space="preserve">BSRM ROD PURPOSE ( 10mm= 1398KG, RING 50 PCS) With Labour Fee (HAJI ENTERPRISE) </t>
  </si>
  <si>
    <t>1398KG &amp; 50 PCS</t>
  </si>
  <si>
    <t>21.04.2026</t>
  </si>
  <si>
    <t>TUNKY SOIL CUTTING PURPOSE (LABOUR)</t>
  </si>
  <si>
    <t>BSRM ROD PURPOSE (16mm= 75KG, 12mm= 170 Kg, 10mm= 149 kg) With Labour &amp; Van bara (HAJI ENTERPRISE)</t>
  </si>
  <si>
    <t>395 KG</t>
  </si>
  <si>
    <t>DAILY ALLOWANCE PURPOSE ADVANCE EMAN VAI</t>
  </si>
  <si>
    <t>25.04.2026</t>
  </si>
  <si>
    <t>MUNSHI BILLAH SITE HALAL ENTERPRISE (DUE BALANCE TRANSFER) SAND</t>
  </si>
  <si>
    <t>MUNSHI BILLAH SITE (NAIL) PERAK PURPOSE</t>
  </si>
  <si>
    <t>26.04.2026</t>
  </si>
  <si>
    <t>MUNSHI BILLAH PROJECT (YOUNUS MIA CONTRACTOR) CONTRUCATIONS</t>
  </si>
  <si>
    <t>03.05.2026</t>
  </si>
  <si>
    <t>MUNSHI BILLAH PROJECT-  CONSTRUCATIONS MATERIALS (MISTRI BAY COST PAID)</t>
  </si>
  <si>
    <t>15.04.2026</t>
  </si>
  <si>
    <t>Selection Bali- Helal Enterprise</t>
  </si>
  <si>
    <t>650 FEET</t>
  </si>
  <si>
    <t>01.04 -30.04.2026</t>
  </si>
  <si>
    <t>WHITE BALI- HALAL ENTERPRISE</t>
  </si>
  <si>
    <t>APRIL MONT (EMAN, IMRNA, RONY, AZIZUL VAI ) TA/DA COST</t>
  </si>
  <si>
    <t>600 FEET</t>
  </si>
  <si>
    <t>RED BALI- HALAL ENTERPRISE</t>
  </si>
  <si>
    <t>200 FEET</t>
  </si>
  <si>
    <t>MUNSHI BILLAH PROJECT-  EMAN VAI MARCH MONTH TA/DA COST</t>
  </si>
  <si>
    <t>300 FEET</t>
  </si>
  <si>
    <t>04.05.2026</t>
  </si>
  <si>
    <t xml:space="preserve">MUNSHI BILLAL SITE- HALAL ENTERPRISE (BALI) DUE BALANCE  </t>
  </si>
  <si>
    <t>RED BALI (3DR PARTY)</t>
  </si>
  <si>
    <t>08.05.2026</t>
  </si>
  <si>
    <t xml:space="preserve">MUNSHI BILLAH SITE- SAND (BALI) PURPOSE (3RD PARTY) </t>
  </si>
  <si>
    <t>11.05.2026</t>
  </si>
  <si>
    <t>BIT BALI- HALAL ENTERPRISE</t>
  </si>
  <si>
    <t>MUNSHI BILLAH SITE- SCRAN CEMENT PURPOSE (HALAL ENTERPRISE)</t>
  </si>
  <si>
    <t>1200 FEET</t>
  </si>
  <si>
    <t>13.05.2026</t>
  </si>
  <si>
    <t>06.05.2026</t>
  </si>
  <si>
    <t>MUNSHI BILLAH SITE- SOIL CUTTING PURPOSE (BAKU) CHARGE</t>
  </si>
  <si>
    <t>15.05.2026</t>
  </si>
  <si>
    <t>400 FEET</t>
  </si>
  <si>
    <t>MUNSHI BILLAH SITE- BIT BORAT PURPOSE LAYBOR BILL</t>
  </si>
  <si>
    <t>MUNSHI BILLAH SITE- PATER BOSTHA &amp; NAIL (TARKATA)</t>
  </si>
  <si>
    <t>07.05.2026</t>
  </si>
  <si>
    <t>MUNSHI BILLAH SITE- EMAN VAI DAILY ALLOWANCE</t>
  </si>
  <si>
    <t>10.05.2026</t>
  </si>
  <si>
    <t>MUNSHI BILLAH SITE- HALAL ENTERPRISE (PREVIOUE DUE &amp; NEW BALI PAYMENT)</t>
  </si>
  <si>
    <t>MUNSHI BILLAH SITE- YOUNUS CONTRACTOR</t>
  </si>
  <si>
    <t>MUNSHI BILLAH SITE- HALAL ENTERPRISE (BSRM ROAD PAYMENT)</t>
  </si>
  <si>
    <t>16.05.2026</t>
  </si>
  <si>
    <t xml:space="preserve">MUNSHI BILLAH PROJECT-PIVE FILTER MATARIALS PURPOSE </t>
  </si>
  <si>
    <t>MUNSHI BILLAH PROJECT- EMAN VAI PREVIOUS ALLOWANCE, NEW ALLOWANCE</t>
  </si>
  <si>
    <t>22.05.2026</t>
  </si>
  <si>
    <t>Hardware MATERIALS</t>
  </si>
  <si>
    <t>MUNSHI BILLAH SITE- BALI (SAND) TRANSFORT LABOUR BILL (BIT BORAT)</t>
  </si>
  <si>
    <t>25.05.2026</t>
  </si>
  <si>
    <t>YOUNUS CONTRACTOR (TALIM HOSSAIN BKASH)</t>
  </si>
  <si>
    <t>PURPOSE DETAILS</t>
  </si>
  <si>
    <t>QUANTITY</t>
  </si>
  <si>
    <t>AMOUNT</t>
  </si>
  <si>
    <t>TOTAL AMOUNT</t>
  </si>
  <si>
    <t>TRANS. TYPE</t>
  </si>
  <si>
    <t>01.05 -31.04.2026</t>
  </si>
  <si>
    <t>EMAN VAI BKASH NUMBER EMAN VAI (BALTI, BODNA, TIRPAL OTHERS COSTING</t>
  </si>
  <si>
    <t>09.0.06.2026</t>
  </si>
  <si>
    <t>TALIM VAI BKASH</t>
  </si>
  <si>
    <t>LAYBOUR BILL (TALIM)</t>
  </si>
  <si>
    <t>Sanitary Products- Pipe Filter</t>
  </si>
  <si>
    <t>TARKATA PURPOSE</t>
  </si>
  <si>
    <t>11.06.2026</t>
  </si>
  <si>
    <t>TARKATA PURPOSE (TALIM BHAI BKASH)</t>
  </si>
  <si>
    <t>PATER BOSTHA &amp; NAIL (TARKATA)</t>
  </si>
  <si>
    <t>13.06.2026</t>
  </si>
  <si>
    <t>BOSS TO TALIM VAI BKASH</t>
  </si>
  <si>
    <t xml:space="preserve"> TARKATA PURPOSE</t>
  </si>
  <si>
    <t xml:space="preserve">TALIM VAI </t>
  </si>
  <si>
    <t>BOSS &amp; RONY VAI</t>
  </si>
  <si>
    <t>HARDWARE MATERIALS</t>
  </si>
  <si>
    <t>BKASH TRANSFER</t>
  </si>
  <si>
    <t>02.07.2026</t>
  </si>
  <si>
    <t>DUE</t>
  </si>
  <si>
    <t>UPDATED</t>
  </si>
  <si>
    <t>RONY VAI</t>
  </si>
  <si>
    <t>ROD PURPOSE (HAJI ENTER PRISE</t>
  </si>
  <si>
    <t>HARDWARE METARIALS PURPOSE</t>
  </si>
  <si>
    <t>14.04.2026</t>
  </si>
  <si>
    <t>BEKU BILL (MATI KATA)</t>
  </si>
  <si>
    <t>BEKU BILL (MATI BHORAT)</t>
  </si>
  <si>
    <t>LOBOUR BILL MATI BORAT</t>
  </si>
  <si>
    <t>BIT BHORAT   (BALI)</t>
  </si>
  <si>
    <t>Electrical- Meterials</t>
  </si>
  <si>
    <t>Office Design Purpose</t>
  </si>
  <si>
    <t>ELECTRIC MATERIALS &amp; OTHERS COST)</t>
  </si>
  <si>
    <t>29.06.2026</t>
  </si>
  <si>
    <t>3D Design Purpose Office Cost</t>
  </si>
  <si>
    <t>ELECTRIC MATERIALS  PRUPOSE (BAYATOLLA ELECTRONICS)</t>
  </si>
  <si>
    <t>PROJECT COSTING PURPOSE COST BALANCE</t>
  </si>
  <si>
    <t>PROJECT COSTING PURPOSE BUDGET BALANCE</t>
  </si>
  <si>
    <t>PROJECT COSTING PURPOSE RE-MAINING BALANCE</t>
  </si>
  <si>
    <r>
      <rPr>
        <rFont val="Arial"/>
        <b/>
        <color theme="1"/>
        <sz val="21.0"/>
      </rPr>
      <t>DUE BALANCE - (</t>
    </r>
    <r>
      <rPr>
        <rFont val="Arial"/>
        <b/>
        <color theme="1"/>
        <sz val="18.0"/>
      </rPr>
      <t>ASIA BRICKS= 160K, &amp; HALAL ENTERPRISE= 58148)</t>
    </r>
  </si>
  <si>
    <t>TOTAL COST</t>
  </si>
  <si>
    <t>COSTING BUDGET</t>
  </si>
  <si>
    <t>RE-MAINING DUE COST BALANCE</t>
  </si>
  <si>
    <t>Transport</t>
  </si>
  <si>
    <t>Project Value</t>
  </si>
  <si>
    <t>12.03.2026</t>
  </si>
  <si>
    <t>05.02.2026</t>
  </si>
  <si>
    <t xml:space="preserve">1st  Payment Received </t>
  </si>
  <si>
    <t>1st Visit  For Land Observation</t>
  </si>
  <si>
    <t>2nd Payment Received</t>
  </si>
  <si>
    <t>03.03.2026</t>
  </si>
  <si>
    <t>3rd Payment Received</t>
  </si>
  <si>
    <t>2nd Visit Meserment</t>
  </si>
  <si>
    <t>09.06.2026</t>
  </si>
  <si>
    <t>10.03.2026</t>
  </si>
  <si>
    <t>3rd visit Soil test</t>
  </si>
  <si>
    <t>4th visit Before Work Finalize</t>
  </si>
  <si>
    <t>RE-MAINING DUE BALANCE</t>
  </si>
  <si>
    <t>DAILY ALLOWNANCE PURPOSE ADV. EMAN VAI</t>
  </si>
  <si>
    <t>5th visit For work verify</t>
  </si>
  <si>
    <t>Given Amount</t>
  </si>
  <si>
    <t>6th visit For work verify</t>
  </si>
  <si>
    <t>Total Given Amount</t>
  </si>
  <si>
    <t>BANK TRASFER</t>
  </si>
  <si>
    <t>18.05.2026</t>
  </si>
  <si>
    <t>57th visit For work verify</t>
  </si>
  <si>
    <t>EPAL TRAVELS IBBL TO YOUNUS MIA IBBL A/C</t>
  </si>
  <si>
    <t>Soil Test Purpose</t>
  </si>
  <si>
    <t>Soil Test,Structural,Quotation Budget</t>
  </si>
  <si>
    <t>7th visit For Plan Correction &amp; Verify Work</t>
  </si>
  <si>
    <t>EPAL IT BRAC TO YOUNUS MIA IBBL A/C</t>
  </si>
  <si>
    <t>CASH</t>
  </si>
  <si>
    <t>MUNSHI GIVEN TO YOUNUS CONTRACTOR</t>
  </si>
  <si>
    <t>EMI IBBL TO YOUNUS MIA IBBL A/C</t>
  </si>
  <si>
    <t>EMAN VAI MATERIALS DELIVERY PURPOSE</t>
  </si>
  <si>
    <t>TALIM BAKSAH</t>
  </si>
  <si>
    <t>COSTIGN GIVEN UPDATE EMAN VAI (COSTING FROM MUNSHI) YOUNUS CONTRACTOR=16K, BAKU BILL=20K, DRAM &amp; LAYBOR SNACK=300</t>
  </si>
  <si>
    <t>MOHSIN BOSS TO TALIM BKAH</t>
  </si>
  <si>
    <t>26.06.2026</t>
  </si>
  <si>
    <t>EPAL TRAVELS DBL TO YOUNUS MIA IBBL A/C</t>
  </si>
  <si>
    <t>APRIL MONTH (EMAN, IMRNA, RONY, AZIZUL VAI ) TA/DA COST</t>
  </si>
  <si>
    <t xml:space="preserve"> EMAN VAI MARCH MONTH TA/DA COST</t>
  </si>
  <si>
    <t>EMAN VAI DAILY ALLOWANCE</t>
  </si>
  <si>
    <t>EMAN VAI PREVIOUS ALLOWANCE, NEW ALLOWANCE</t>
  </si>
  <si>
    <t>MAY MONTH (EMAN, IMRNA, RONY, AZIZUL VAI ) TA/DA COST</t>
  </si>
  <si>
    <t>01.06 -30.06.2026</t>
  </si>
  <si>
    <t>JUNE MONTH (EMAN, IMRNA, RONY, AZIZUL VAI ) TA/DA COST</t>
  </si>
  <si>
    <t>CAMICEL</t>
  </si>
  <si>
    <t>MUNSHI BILLAH SITE- DALAI PURPOSE POLYTHINE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</si>
</sst>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1">
    <font>
      <sz val="10.0"/>
      <color rgb="FF000000"/>
      <name val="Arial"/>
      <scheme val="minor"/>
    </font>
    <font>
      <b/>
      <sz val="19.0"/>
      <color theme="1"/>
      <name val="Arial"/>
      <scheme val="minor"/>
    </font>
    <font>
      <b/>
      <sz val="18.0"/>
      <color theme="1"/>
      <name val="Arial"/>
      <scheme val="minor"/>
    </font>
    <font>
      <b/>
      <sz val="24.0"/>
      <color theme="1"/>
      <name val="Arial"/>
    </font>
    <font>
      <b/>
      <sz val="13.0"/>
      <color theme="1"/>
      <name val="Arial"/>
      <scheme val="minor"/>
    </font>
    <font/>
    <font>
      <b/>
      <sz val="13.0"/>
      <color theme="1"/>
      <name val="Arial"/>
    </font>
    <font>
      <b/>
      <sz val="12.0"/>
      <color theme="1"/>
      <name val="Arial"/>
      <scheme val="minor"/>
    </font>
    <font>
      <b/>
      <sz val="14.0"/>
      <color theme="1"/>
      <name val="Arial"/>
      <scheme val="minor"/>
    </font>
    <font>
      <b/>
      <sz val="16.0"/>
      <color theme="1"/>
      <name val="Arial"/>
      <scheme val="minor"/>
    </font>
    <font>
      <b/>
      <sz val="14.0"/>
      <color rgb="FF1F1F1F"/>
      <name val="&quot;Google Sans&quot;"/>
    </font>
    <font>
      <b/>
      <u/>
      <sz val="18.0"/>
      <color rgb="FF1155CC"/>
      <name val="Arial"/>
    </font>
    <font>
      <b/>
      <sz val="16.0"/>
      <color theme="1"/>
      <name val="Trebuchet MS"/>
    </font>
    <font>
      <sz val="13.0"/>
      <color theme="1"/>
      <name val="Arial"/>
      <scheme val="minor"/>
    </font>
    <font>
      <b/>
      <sz val="16.0"/>
      <color rgb="FF222222"/>
      <name val="Google Sans"/>
    </font>
    <font>
      <sz val="13.0"/>
      <color theme="1"/>
      <name val="Arial"/>
    </font>
    <font>
      <b/>
      <sz val="16.0"/>
      <color theme="1"/>
      <name val="Arial"/>
    </font>
    <font>
      <color theme="1"/>
      <name val="Arial"/>
    </font>
    <font>
      <b/>
      <sz val="18.0"/>
      <color theme="1"/>
      <name val="Trebuchet MS"/>
    </font>
    <font>
      <b/>
      <sz val="18.0"/>
      <color theme="1"/>
      <name val="Arial"/>
    </font>
    <font>
      <b/>
      <sz val="17.0"/>
      <color theme="1"/>
      <name val="Arial"/>
    </font>
    <font>
      <b/>
      <sz val="14.0"/>
      <color theme="1"/>
      <name val="Arial"/>
    </font>
    <font>
      <b/>
      <sz val="17.0"/>
      <color theme="1"/>
      <name val="Arial"/>
      <scheme val="minor"/>
    </font>
    <font>
      <b/>
      <sz val="17.0"/>
      <color rgb="FFFF0000"/>
      <name val="Arial"/>
    </font>
    <font>
      <b/>
      <sz val="12.0"/>
      <color theme="1"/>
      <name val="Arial"/>
    </font>
    <font>
      <b/>
      <sz val="15.0"/>
      <color theme="1"/>
      <name val="Arial"/>
    </font>
    <font>
      <b/>
      <sz val="11.0"/>
      <color theme="1"/>
      <name val="Arial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sz val="15.0"/>
      <color theme="1"/>
      <name val="Arial"/>
      <scheme val="minor"/>
    </font>
    <font>
      <b/>
      <sz val="17.0"/>
      <color theme="1"/>
      <name val="Trebuchet MS"/>
    </font>
    <font>
      <b/>
      <sz val="19.0"/>
      <color theme="1"/>
      <name val="Arial"/>
    </font>
    <font>
      <b/>
      <sz val="19.0"/>
      <color rgb="FFFF0000"/>
      <name val="Arial"/>
    </font>
    <font>
      <sz val="14.0"/>
      <color theme="1"/>
      <name val="Arial"/>
    </font>
    <font>
      <b/>
      <sz val="20.0"/>
      <color theme="1"/>
      <name val="Arial"/>
      <scheme val="minor"/>
    </font>
    <font>
      <sz val="17.0"/>
      <color theme="1"/>
      <name val="Arial"/>
      <scheme val="minor"/>
    </font>
    <font>
      <sz val="17.0"/>
      <color theme="1"/>
      <name val="Arial"/>
    </font>
    <font>
      <b/>
      <sz val="20.0"/>
      <color theme="1"/>
      <name val="Arial"/>
    </font>
    <font>
      <b/>
      <sz val="22.0"/>
      <color theme="1"/>
      <name val="Arial"/>
    </font>
    <font>
      <b/>
      <sz val="21.0"/>
      <color theme="1"/>
      <name val="Arial"/>
    </font>
    <font>
      <b/>
      <sz val="25.0"/>
      <color theme="1"/>
      <name val="Arial"/>
    </font>
    <font>
      <b/>
      <sz val="26.0"/>
      <color theme="1"/>
      <name val="Arial"/>
    </font>
    <font>
      <b/>
      <sz val="27.0"/>
      <color theme="1"/>
      <name val="Arial"/>
    </font>
    <font>
      <b/>
      <sz val="23.0"/>
      <color theme="1"/>
      <name val="Arial"/>
    </font>
    <font>
      <b/>
      <sz val="14.0"/>
      <color rgb="FF000000"/>
      <name val="Arial"/>
    </font>
    <font>
      <b/>
      <sz val="28.0"/>
      <color theme="1"/>
      <name val="Arial"/>
    </font>
    <font>
      <sz val="12.0"/>
      <color theme="1"/>
      <name val="Arial"/>
      <scheme val="minor"/>
    </font>
    <font>
      <b/>
      <sz val="14.0"/>
      <color rgb="FFFF0000"/>
      <name val="Arial"/>
    </font>
    <font>
      <sz val="15.0"/>
      <color theme="1"/>
      <name val="Arial"/>
    </font>
    <font>
      <sz val="15.0"/>
      <color theme="1"/>
      <name val="Arial"/>
      <scheme val="minor"/>
    </font>
    <font>
      <b/>
      <sz val="18.0"/>
      <color rgb="FF1F1F1F"/>
      <name val="&quot;Google Sans&quot;"/>
    </font>
  </fonts>
  <fills count="18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CFE2F3"/>
        <bgColor rgb="FFCFE2F3"/>
      </patternFill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E06666"/>
        <bgColor rgb="FFE06666"/>
      </patternFill>
    </fill>
    <fill>
      <patternFill patternType="solid">
        <fgColor rgb="FFD0E0E3"/>
        <bgColor rgb="FFD0E0E3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3" fontId="2" numFmtId="0" xfId="0" applyAlignment="1" applyBorder="1" applyFill="1" applyFont="1">
      <alignment horizontal="center" readingOrder="0"/>
    </xf>
    <xf borderId="0" fillId="2" fontId="1" numFmtId="0" xfId="0" applyFont="1"/>
    <xf borderId="1" fillId="4" fontId="3" numFmtId="0" xfId="0" applyAlignment="1" applyBorder="1" applyFill="1" applyFont="1">
      <alignment horizontal="center" vertical="bottom"/>
    </xf>
    <xf borderId="2" fillId="5" fontId="4" numFmtId="0" xfId="0" applyAlignment="1" applyBorder="1" applyFill="1" applyFont="1">
      <alignment readingOrder="0"/>
    </xf>
    <xf borderId="3" fillId="0" fontId="5" numFmtId="0" xfId="0" applyBorder="1" applyFont="1"/>
    <xf borderId="2" fillId="5" fontId="6" numFmtId="0" xfId="0" applyAlignment="1" applyBorder="1" applyFont="1">
      <alignment vertical="bottom"/>
    </xf>
    <xf borderId="4" fillId="0" fontId="5" numFmtId="0" xfId="0" applyBorder="1" applyFont="1"/>
    <xf borderId="2" fillId="5" fontId="7" numFmtId="0" xfId="0" applyAlignment="1" applyBorder="1" applyFont="1">
      <alignment readingOrder="0"/>
    </xf>
    <xf borderId="2" fillId="5" fontId="8" numFmtId="0" xfId="0" applyAlignment="1" applyBorder="1" applyFont="1">
      <alignment readingOrder="0"/>
    </xf>
    <xf borderId="2" fillId="5" fontId="9" numFmtId="0" xfId="0" applyAlignment="1" applyBorder="1" applyFont="1">
      <alignment readingOrder="0"/>
    </xf>
    <xf borderId="2" fillId="0" fontId="8" numFmtId="0" xfId="0" applyAlignment="1" applyBorder="1" applyFont="1">
      <alignment horizontal="center" readingOrder="0"/>
    </xf>
    <xf borderId="2" fillId="0" fontId="8" numFmtId="0" xfId="0" applyAlignment="1" applyBorder="1" applyFont="1">
      <alignment readingOrder="0"/>
    </xf>
    <xf borderId="2" fillId="0" fontId="10" numFmtId="0" xfId="0" applyAlignment="1" applyBorder="1" applyFont="1">
      <alignment readingOrder="0"/>
    </xf>
    <xf borderId="2" fillId="6" fontId="11" numFmtId="0" xfId="0" applyAlignment="1" applyBorder="1" applyFill="1" applyFont="1">
      <alignment horizontal="center" vertical="bottom"/>
    </xf>
    <xf borderId="2" fillId="0" fontId="8" numFmtId="0" xfId="0" applyAlignment="1" applyBorder="1" applyFont="1">
      <alignment horizontal="right"/>
    </xf>
    <xf borderId="2" fillId="6" fontId="12" numFmtId="0" xfId="0" applyAlignment="1" applyBorder="1" applyFont="1">
      <alignment horizontal="center" shrinkToFit="0" vertical="bottom" wrapText="1"/>
    </xf>
    <xf borderId="2" fillId="7" fontId="10" numFmtId="0" xfId="0" applyAlignment="1" applyBorder="1" applyFill="1" applyFont="1">
      <alignment readingOrder="0"/>
    </xf>
    <xf borderId="0" fillId="0" fontId="13" numFmtId="0" xfId="0" applyFont="1"/>
    <xf borderId="2" fillId="0" fontId="13" numFmtId="0" xfId="0" applyAlignment="1" applyBorder="1" applyFont="1">
      <alignment readingOrder="0"/>
    </xf>
    <xf borderId="2" fillId="6" fontId="14" numFmtId="0" xfId="0" applyAlignment="1" applyBorder="1" applyFont="1">
      <alignment horizontal="center" shrinkToFit="0" vertical="bottom" wrapText="1"/>
    </xf>
    <xf borderId="2" fillId="0" fontId="15" numFmtId="0" xfId="0" applyAlignment="1" applyBorder="1" applyFont="1">
      <alignment horizontal="right" vertical="bottom"/>
    </xf>
    <xf borderId="2" fillId="0" fontId="13" numFmtId="0" xfId="0" applyAlignment="1" applyBorder="1" applyFont="1">
      <alignment horizontal="center" readingOrder="0"/>
    </xf>
    <xf borderId="2" fillId="0" fontId="13" numFmtId="0" xfId="0" applyBorder="1" applyFont="1"/>
    <xf borderId="2" fillId="6" fontId="16" numFmtId="0" xfId="0" applyAlignment="1" applyBorder="1" applyFont="1">
      <alignment vertical="bottom"/>
    </xf>
    <xf borderId="2" fillId="0" fontId="15" numFmtId="0" xfId="0" applyAlignment="1" applyBorder="1" applyFont="1">
      <alignment readingOrder="0" vertical="bottom"/>
    </xf>
    <xf borderId="2" fillId="0" fontId="8" numFmtId="0" xfId="0" applyAlignment="1" applyBorder="1" applyFont="1">
      <alignment horizontal="right" readingOrder="0"/>
    </xf>
    <xf borderId="2" fillId="6" fontId="17" numFmtId="0" xfId="0" applyAlignment="1" applyBorder="1" applyFont="1">
      <alignment vertical="bottom"/>
    </xf>
    <xf borderId="2" fillId="7" fontId="13" numFmtId="0" xfId="0" applyAlignment="1" applyBorder="1" applyFont="1">
      <alignment readingOrder="0"/>
    </xf>
    <xf borderId="2" fillId="6" fontId="14" numFmtId="0" xfId="0" applyAlignment="1" applyBorder="1" applyFont="1">
      <alignment horizontal="center" vertical="bottom"/>
    </xf>
    <xf borderId="2" fillId="6" fontId="18" numFmtId="0" xfId="0" applyAlignment="1" applyBorder="1" applyFont="1">
      <alignment horizontal="center" vertical="bottom"/>
    </xf>
    <xf borderId="2" fillId="0" fontId="8" numFmtId="3" xfId="0" applyAlignment="1" applyBorder="1" applyFont="1" applyNumberFormat="1">
      <alignment horizontal="right" readingOrder="0"/>
    </xf>
    <xf borderId="2" fillId="7" fontId="17" numFmtId="0" xfId="0" applyAlignment="1" applyBorder="1" applyFont="1">
      <alignment vertical="bottom"/>
    </xf>
    <xf borderId="2" fillId="0" fontId="8" numFmtId="0" xfId="0" applyBorder="1" applyFont="1"/>
    <xf borderId="2" fillId="7" fontId="19" numFmtId="0" xfId="0" applyAlignment="1" applyBorder="1" applyFont="1">
      <alignment horizontal="right" vertical="bottom"/>
    </xf>
    <xf borderId="2" fillId="8" fontId="20" numFmtId="0" xfId="0" applyAlignment="1" applyBorder="1" applyFill="1" applyFont="1">
      <alignment vertical="bottom"/>
    </xf>
    <xf borderId="2" fillId="7" fontId="13" numFmtId="0" xfId="0" applyBorder="1" applyFont="1"/>
    <xf borderId="2" fillId="7" fontId="21" numFmtId="0" xfId="0" applyAlignment="1" applyBorder="1" applyFont="1">
      <alignment vertical="bottom"/>
    </xf>
    <xf borderId="2" fillId="8" fontId="20" numFmtId="0" xfId="0" applyAlignment="1" applyBorder="1" applyFont="1">
      <alignment shrinkToFit="0" vertical="bottom" wrapText="1"/>
    </xf>
    <xf borderId="2" fillId="3" fontId="8" numFmtId="0" xfId="0" applyBorder="1" applyFont="1"/>
    <xf borderId="2" fillId="7" fontId="19" numFmtId="0" xfId="0" applyAlignment="1" applyBorder="1" applyFont="1">
      <alignment horizontal="center" vertical="bottom"/>
    </xf>
    <xf borderId="2" fillId="3" fontId="22" numFmtId="0" xfId="0" applyBorder="1" applyFont="1"/>
    <xf borderId="0" fillId="0" fontId="8" numFmtId="0" xfId="0" applyFont="1"/>
    <xf borderId="0" fillId="0" fontId="17" numFmtId="0" xfId="0" applyAlignment="1" applyFont="1">
      <alignment vertical="bottom"/>
    </xf>
    <xf borderId="2" fillId="8" fontId="23" numFmtId="0" xfId="0" applyAlignment="1" applyBorder="1" applyFont="1">
      <alignment shrinkToFit="0" vertical="bottom" wrapText="1"/>
    </xf>
    <xf borderId="2" fillId="0" fontId="21" numFmtId="0" xfId="0" applyAlignment="1" applyBorder="1" applyFont="1">
      <alignment horizontal="center" readingOrder="0" vertical="bottom"/>
    </xf>
    <xf borderId="2" fillId="0" fontId="17" numFmtId="0" xfId="0" applyAlignment="1" applyBorder="1" applyFont="1">
      <alignment vertical="bottom"/>
    </xf>
    <xf borderId="2" fillId="0" fontId="24" numFmtId="0" xfId="0" applyAlignment="1" applyBorder="1" applyFont="1">
      <alignment vertical="bottom"/>
    </xf>
    <xf borderId="2" fillId="0" fontId="21" numFmtId="0" xfId="0" applyAlignment="1" applyBorder="1" applyFont="1">
      <alignment horizontal="right" vertical="bottom"/>
    </xf>
    <xf borderId="2" fillId="0" fontId="21" numFmtId="0" xfId="0" applyAlignment="1" applyBorder="1" applyFont="1">
      <alignment horizontal="right" readingOrder="0" vertical="bottom"/>
    </xf>
    <xf borderId="2" fillId="0" fontId="6" numFmtId="0" xfId="0" applyAlignment="1" applyBorder="1" applyFont="1">
      <alignment readingOrder="0" vertical="bottom"/>
    </xf>
    <xf borderId="2" fillId="0" fontId="21" numFmtId="0" xfId="0" applyAlignment="1" applyBorder="1" applyFont="1">
      <alignment readingOrder="0" vertical="bottom"/>
    </xf>
    <xf borderId="2" fillId="0" fontId="25" numFmtId="0" xfId="0" applyAlignment="1" applyBorder="1" applyFont="1">
      <alignment horizontal="right" vertical="bottom"/>
    </xf>
    <xf borderId="0" fillId="0" fontId="26" numFmtId="0" xfId="0" applyAlignment="1" applyFont="1">
      <alignment readingOrder="0" vertical="bottom"/>
    </xf>
    <xf borderId="0" fillId="5" fontId="2" numFmtId="0" xfId="0" applyAlignment="1" applyFont="1">
      <alignment horizontal="center" readingOrder="0"/>
    </xf>
    <xf borderId="0" fillId="2" fontId="1" numFmtId="0" xfId="0" applyAlignment="1" applyFont="1">
      <alignment horizontal="center" readingOrder="0"/>
    </xf>
    <xf borderId="2" fillId="0" fontId="4" numFmtId="0" xfId="0" applyAlignment="1" applyBorder="1" applyFont="1">
      <alignment readingOrder="0"/>
    </xf>
    <xf borderId="2" fillId="0" fontId="27" numFmtId="0" xfId="0" applyAlignment="1" applyBorder="1" applyFont="1">
      <alignment readingOrder="0"/>
    </xf>
    <xf borderId="2" fillId="0" fontId="4" numFmtId="0" xfId="0" applyBorder="1" applyFont="1"/>
    <xf borderId="2" fillId="0" fontId="28" numFmtId="0" xfId="0" applyBorder="1" applyFont="1"/>
    <xf borderId="2" fillId="0" fontId="28" numFmtId="0" xfId="0" applyAlignment="1" applyBorder="1" applyFont="1">
      <alignment horizontal="left" readingOrder="0"/>
    </xf>
    <xf borderId="2" fillId="0" fontId="25" numFmtId="0" xfId="0" applyAlignment="1" applyBorder="1" applyFont="1">
      <alignment readingOrder="0" vertical="bottom"/>
    </xf>
    <xf borderId="2" fillId="0" fontId="25" numFmtId="0" xfId="0" applyAlignment="1" applyBorder="1" applyFont="1">
      <alignment readingOrder="0" shrinkToFit="0" vertical="bottom" wrapText="1"/>
    </xf>
    <xf borderId="2" fillId="0" fontId="29" numFmtId="0" xfId="0" applyBorder="1" applyFont="1"/>
    <xf borderId="5" fillId="8" fontId="25" numFmtId="0" xfId="0" applyAlignment="1" applyBorder="1" applyFont="1">
      <alignment horizontal="right" readingOrder="0" vertical="bottom"/>
    </xf>
    <xf borderId="2" fillId="9" fontId="20" numFmtId="0" xfId="0" applyAlignment="1" applyBorder="1" applyFill="1" applyFont="1">
      <alignment vertical="bottom"/>
    </xf>
    <xf borderId="2" fillId="7" fontId="20" numFmtId="0" xfId="0" applyAlignment="1" applyBorder="1" applyFont="1">
      <alignment vertical="bottom"/>
    </xf>
    <xf borderId="2" fillId="9" fontId="20" numFmtId="0" xfId="0" applyAlignment="1" applyBorder="1" applyFont="1">
      <alignment shrinkToFit="0" vertical="bottom" wrapText="1"/>
    </xf>
    <xf borderId="2" fillId="0" fontId="29" numFmtId="0" xfId="0" applyAlignment="1" applyBorder="1" applyFont="1">
      <alignment readingOrder="0"/>
    </xf>
    <xf borderId="2" fillId="7" fontId="20" numFmtId="0" xfId="0" applyAlignment="1" applyBorder="1" applyFont="1">
      <alignment horizontal="center" vertical="bottom"/>
    </xf>
    <xf borderId="2" fillId="0" fontId="29" numFmtId="0" xfId="0" applyAlignment="1" applyBorder="1" applyFont="1">
      <alignment readingOrder="0" shrinkToFit="0" wrapText="1"/>
    </xf>
    <xf borderId="5" fillId="9" fontId="20" numFmtId="0" xfId="0" applyAlignment="1" applyBorder="1" applyFont="1">
      <alignment readingOrder="0" shrinkToFit="0" vertical="bottom" wrapText="1"/>
    </xf>
    <xf borderId="2" fillId="0" fontId="29" numFmtId="0" xfId="0" applyAlignment="1" applyBorder="1" applyFont="1">
      <alignment shrinkToFit="0" wrapText="1"/>
    </xf>
    <xf borderId="2" fillId="7" fontId="20" numFmtId="0" xfId="0" applyAlignment="1" applyBorder="1" applyFont="1">
      <alignment horizontal="center" readingOrder="0" vertical="bottom"/>
    </xf>
    <xf borderId="2" fillId="0" fontId="28" numFmtId="0" xfId="0" applyAlignment="1" applyBorder="1" applyFont="1">
      <alignment horizontal="left"/>
    </xf>
    <xf borderId="2" fillId="7" fontId="21" numFmtId="0" xfId="0" applyAlignment="1" applyBorder="1" applyFont="1">
      <alignment horizontal="center" vertical="bottom"/>
    </xf>
    <xf borderId="5" fillId="9" fontId="20" numFmtId="0" xfId="0" applyAlignment="1" applyBorder="1" applyFont="1">
      <alignment shrinkToFit="0" vertical="bottom" wrapText="1"/>
    </xf>
    <xf borderId="5" fillId="9" fontId="30" numFmtId="0" xfId="0" applyAlignment="1" applyBorder="1" applyFont="1">
      <alignment shrinkToFit="0" vertical="bottom" wrapText="1"/>
    </xf>
    <xf borderId="2" fillId="5" fontId="28" numFmtId="0" xfId="0" applyBorder="1" applyFont="1"/>
    <xf borderId="2" fillId="0" fontId="7" numFmtId="0" xfId="0" applyAlignment="1" applyBorder="1" applyFont="1">
      <alignment readingOrder="0"/>
    </xf>
    <xf borderId="2" fillId="0" fontId="7" numFmtId="0" xfId="0" applyBorder="1" applyFont="1"/>
    <xf borderId="2" fillId="8" fontId="31" numFmtId="0" xfId="0" applyAlignment="1" applyBorder="1" applyFont="1">
      <alignment vertical="bottom"/>
    </xf>
    <xf borderId="2" fillId="8" fontId="32" numFmtId="0" xfId="0" applyAlignment="1" applyBorder="1" applyFont="1">
      <alignment shrinkToFit="0" vertical="bottom" wrapText="1"/>
    </xf>
    <xf borderId="0" fillId="0" fontId="7" numFmtId="0" xfId="0" applyFont="1"/>
    <xf borderId="2" fillId="0" fontId="24" numFmtId="0" xfId="0" applyAlignment="1" applyBorder="1" applyFont="1">
      <alignment vertical="bottom"/>
    </xf>
    <xf borderId="2" fillId="0" fontId="24" numFmtId="0" xfId="0" applyAlignment="1" applyBorder="1" applyFont="1">
      <alignment horizontal="right" vertical="bottom"/>
    </xf>
    <xf borderId="2" fillId="0" fontId="24" numFmtId="0" xfId="0" applyAlignment="1" applyBorder="1" applyFont="1">
      <alignment readingOrder="0" vertical="bottom"/>
    </xf>
    <xf borderId="5" fillId="7" fontId="17" numFmtId="0" xfId="0" applyAlignment="1" applyBorder="1" applyFont="1">
      <alignment vertical="bottom"/>
    </xf>
    <xf borderId="2" fillId="0" fontId="28" numFmtId="0" xfId="0" applyAlignment="1" applyBorder="1" applyFont="1">
      <alignment shrinkToFit="0" wrapText="1"/>
    </xf>
    <xf borderId="2" fillId="0" fontId="24" numFmtId="0" xfId="0" applyAlignment="1" applyBorder="1" applyFont="1">
      <alignment horizontal="right" vertical="bottom"/>
    </xf>
    <xf borderId="5" fillId="7" fontId="20" numFmtId="0" xfId="0" applyAlignment="1" applyBorder="1" applyFont="1">
      <alignment horizontal="center" vertical="bottom"/>
    </xf>
    <xf borderId="2" fillId="7" fontId="33" numFmtId="0" xfId="0" applyAlignment="1" applyBorder="1" applyFont="1">
      <alignment vertical="bottom"/>
    </xf>
    <xf borderId="2" fillId="9" fontId="19" numFmtId="0" xfId="0" applyAlignment="1" applyBorder="1" applyFont="1">
      <alignment vertical="bottom"/>
    </xf>
    <xf borderId="0" fillId="10" fontId="28" numFmtId="0" xfId="0" applyFill="1" applyFont="1"/>
    <xf borderId="0" fillId="10" fontId="34" numFmtId="0" xfId="0" applyAlignment="1" applyFont="1">
      <alignment horizontal="center" readingOrder="0"/>
    </xf>
    <xf borderId="2" fillId="5" fontId="2" numFmtId="0" xfId="0" applyAlignment="1" applyBorder="1" applyFont="1">
      <alignment readingOrder="0"/>
    </xf>
    <xf borderId="2" fillId="0" fontId="9" numFmtId="0" xfId="0" applyAlignment="1" applyBorder="1" applyFont="1">
      <alignment readingOrder="0"/>
    </xf>
    <xf borderId="2" fillId="8" fontId="20" numFmtId="0" xfId="0" applyAlignment="1" applyBorder="1" applyFont="1">
      <alignment vertical="bottom"/>
    </xf>
    <xf borderId="2" fillId="7" fontId="20" numFmtId="0" xfId="0" applyAlignment="1" applyBorder="1" applyFont="1">
      <alignment horizontal="left" vertical="bottom"/>
    </xf>
    <xf borderId="2" fillId="9" fontId="32" numFmtId="0" xfId="0" applyAlignment="1" applyBorder="1" applyFont="1">
      <alignment shrinkToFit="0" vertical="bottom" wrapText="1"/>
    </xf>
    <xf borderId="2" fillId="8" fontId="20" numFmtId="0" xfId="0" applyAlignment="1" applyBorder="1" applyFont="1">
      <alignment readingOrder="0" shrinkToFit="0" vertical="bottom" wrapText="1"/>
    </xf>
    <xf borderId="2" fillId="0" fontId="35" numFmtId="0" xfId="0" applyBorder="1" applyFont="1"/>
    <xf borderId="2" fillId="0" fontId="34" numFmtId="0" xfId="0" applyAlignment="1" applyBorder="1" applyFont="1">
      <alignment horizontal="left" readingOrder="0"/>
    </xf>
    <xf borderId="2" fillId="0" fontId="34" numFmtId="0" xfId="0" applyAlignment="1" applyBorder="1" applyFont="1">
      <alignment horizontal="left"/>
    </xf>
    <xf borderId="2" fillId="5" fontId="7" numFmtId="0" xfId="0" applyBorder="1" applyFont="1"/>
    <xf borderId="2" fillId="9" fontId="20" numFmtId="0" xfId="0" applyAlignment="1" applyBorder="1" applyFont="1">
      <alignment vertical="bottom"/>
    </xf>
    <xf borderId="2" fillId="0" fontId="36" numFmtId="0" xfId="0" applyAlignment="1" applyBorder="1" applyFont="1">
      <alignment vertical="bottom"/>
    </xf>
    <xf borderId="2" fillId="0" fontId="37" numFmtId="0" xfId="0" applyAlignment="1" applyBorder="1" applyFont="1">
      <alignment horizontal="left" vertical="bottom"/>
    </xf>
    <xf borderId="5" fillId="9" fontId="20" numFmtId="0" xfId="0" applyAlignment="1" applyBorder="1" applyFont="1">
      <alignment readingOrder="0" vertical="bottom"/>
    </xf>
    <xf borderId="2" fillId="7" fontId="19" numFmtId="0" xfId="0" applyAlignment="1" applyBorder="1" applyFont="1">
      <alignment horizontal="center" shrinkToFit="0" vertical="bottom" wrapText="1"/>
    </xf>
    <xf borderId="5" fillId="9" fontId="19" numFmtId="0" xfId="0" applyAlignment="1" applyBorder="1" applyFont="1">
      <alignment readingOrder="0" shrinkToFit="0" vertical="bottom" wrapText="1"/>
    </xf>
    <xf borderId="2" fillId="7" fontId="19" numFmtId="0" xfId="0" applyAlignment="1" applyBorder="1" applyFont="1">
      <alignment vertical="bottom"/>
    </xf>
    <xf borderId="2" fillId="0" fontId="20" numFmtId="0" xfId="0" applyAlignment="1" applyBorder="1" applyFont="1">
      <alignment vertical="bottom"/>
    </xf>
    <xf borderId="2" fillId="7" fontId="20" numFmtId="0" xfId="0" applyAlignment="1" applyBorder="1" applyFont="1">
      <alignment horizontal="left" readingOrder="0" vertical="bottom"/>
    </xf>
    <xf borderId="2" fillId="0" fontId="37" numFmtId="0" xfId="0" applyAlignment="1" applyBorder="1" applyFont="1">
      <alignment horizontal="left" vertical="bottom"/>
    </xf>
    <xf borderId="2" fillId="0" fontId="9" numFmtId="0" xfId="0" applyBorder="1" applyFont="1"/>
    <xf borderId="0" fillId="0" fontId="22" numFmtId="0" xfId="0" applyAlignment="1" applyFont="1">
      <alignment readingOrder="0"/>
    </xf>
    <xf borderId="2" fillId="7" fontId="20" numFmtId="0" xfId="0" applyAlignment="1" applyBorder="1" applyFont="1">
      <alignment horizontal="left" readingOrder="0" shrinkToFit="0" vertical="bottom" wrapText="1"/>
    </xf>
    <xf borderId="2" fillId="0" fontId="22" numFmtId="0" xfId="0" applyAlignment="1" applyBorder="1" applyFont="1">
      <alignment readingOrder="0"/>
    </xf>
    <xf borderId="2" fillId="0" fontId="37" numFmtId="0" xfId="0" applyAlignment="1" applyBorder="1" applyFont="1">
      <alignment horizontal="left" readingOrder="0" vertical="bottom"/>
    </xf>
    <xf borderId="2" fillId="11" fontId="19" numFmtId="0" xfId="0" applyAlignment="1" applyBorder="1" applyFill="1" applyFont="1">
      <alignment readingOrder="0" vertical="bottom"/>
    </xf>
    <xf borderId="5" fillId="11" fontId="19" numFmtId="0" xfId="0" applyAlignment="1" applyBorder="1" applyFont="1">
      <alignment shrinkToFit="0" vertical="bottom" wrapText="1"/>
    </xf>
    <xf borderId="2" fillId="11" fontId="19" numFmtId="0" xfId="0" applyAlignment="1" applyBorder="1" applyFont="1">
      <alignment vertical="bottom"/>
    </xf>
    <xf borderId="2" fillId="0" fontId="22" numFmtId="0" xfId="0" applyBorder="1" applyFont="1"/>
    <xf borderId="2" fillId="7" fontId="19" numFmtId="0" xfId="0" applyAlignment="1" applyBorder="1" applyFont="1">
      <alignment readingOrder="0" vertical="bottom"/>
    </xf>
    <xf borderId="2" fillId="0" fontId="25" numFmtId="0" xfId="0" applyAlignment="1" applyBorder="1" applyFont="1">
      <alignment vertical="bottom"/>
    </xf>
    <xf borderId="2" fillId="0" fontId="25" numFmtId="0" xfId="0" applyAlignment="1" applyBorder="1" applyFont="1">
      <alignment shrinkToFit="0" vertical="bottom" wrapText="1"/>
    </xf>
    <xf borderId="5" fillId="9" fontId="19" numFmtId="0" xfId="0" applyAlignment="1" applyBorder="1" applyFont="1">
      <alignment shrinkToFit="0" vertical="bottom" wrapText="1"/>
    </xf>
    <xf borderId="0" fillId="5" fontId="28" numFmtId="0" xfId="0" applyFont="1"/>
    <xf borderId="0" fillId="5" fontId="22" numFmtId="0" xfId="0" applyAlignment="1" applyFont="1">
      <alignment horizontal="center" readingOrder="0"/>
    </xf>
    <xf borderId="2" fillId="0" fontId="28" numFmtId="0" xfId="0" applyAlignment="1" applyBorder="1" applyFont="1">
      <alignment readingOrder="0"/>
    </xf>
    <xf borderId="2" fillId="0" fontId="21" numFmtId="0" xfId="0" applyAlignment="1" applyBorder="1" applyFont="1">
      <alignment vertical="bottom"/>
    </xf>
    <xf borderId="2" fillId="9" fontId="19" numFmtId="0" xfId="0" applyAlignment="1" applyBorder="1" applyFont="1">
      <alignment shrinkToFit="0" vertical="bottom" wrapText="1"/>
    </xf>
    <xf borderId="2" fillId="8" fontId="6" numFmtId="0" xfId="0" applyAlignment="1" applyBorder="1" applyFont="1">
      <alignment vertical="bottom"/>
    </xf>
    <xf borderId="0" fillId="2" fontId="8" numFmtId="0" xfId="0" applyAlignment="1" applyFont="1">
      <alignment horizontal="center" readingOrder="0"/>
    </xf>
    <xf borderId="2" fillId="7" fontId="25" numFmtId="0" xfId="0" applyAlignment="1" applyBorder="1" applyFont="1">
      <alignment vertical="bottom"/>
    </xf>
    <xf borderId="2" fillId="8" fontId="25" numFmtId="0" xfId="0" applyAlignment="1" applyBorder="1" applyFont="1">
      <alignment readingOrder="0" shrinkToFit="0" vertical="bottom" wrapText="1"/>
    </xf>
    <xf borderId="2" fillId="7" fontId="19" numFmtId="0" xfId="0" applyAlignment="1" applyBorder="1" applyFont="1">
      <alignment horizontal="center" vertical="bottom"/>
    </xf>
    <xf borderId="0" fillId="0" fontId="19" numFmtId="0" xfId="0" applyAlignment="1" applyFont="1">
      <alignment vertical="bottom"/>
    </xf>
    <xf borderId="0" fillId="0" fontId="19" numFmtId="0" xfId="0" applyAlignment="1" applyFont="1">
      <alignment shrinkToFit="0" vertical="bottom" wrapText="1"/>
    </xf>
    <xf borderId="2" fillId="0" fontId="7" numFmtId="0" xfId="0" applyAlignment="1" applyBorder="1" applyFont="1">
      <alignment horizontal="center" readingOrder="0"/>
    </xf>
    <xf borderId="2" fillId="12" fontId="17" numFmtId="0" xfId="0" applyAlignment="1" applyBorder="1" applyFill="1" applyFont="1">
      <alignment vertical="bottom"/>
    </xf>
    <xf borderId="2" fillId="12" fontId="20" numFmtId="0" xfId="0" applyAlignment="1" applyBorder="1" applyFont="1">
      <alignment vertical="bottom"/>
    </xf>
    <xf borderId="2" fillId="12" fontId="38" numFmtId="0" xfId="0" applyAlignment="1" applyBorder="1" applyFont="1">
      <alignment horizontal="center" vertical="bottom"/>
    </xf>
    <xf borderId="2" fillId="13" fontId="17" numFmtId="0" xfId="0" applyAlignment="1" applyBorder="1" applyFill="1" applyFont="1">
      <alignment vertical="bottom"/>
    </xf>
    <xf borderId="0" fillId="4" fontId="17" numFmtId="0" xfId="0" applyAlignment="1" applyFont="1">
      <alignment vertical="bottom"/>
    </xf>
    <xf borderId="2" fillId="14" fontId="20" numFmtId="0" xfId="0" applyAlignment="1" applyBorder="1" applyFill="1" applyFont="1">
      <alignment vertical="bottom"/>
    </xf>
    <xf borderId="2" fillId="14" fontId="17" numFmtId="0" xfId="0" applyAlignment="1" applyBorder="1" applyFont="1">
      <alignment vertical="bottom"/>
    </xf>
    <xf borderId="0" fillId="8" fontId="39" numFmtId="0" xfId="0" applyAlignment="1" applyFont="1">
      <alignment shrinkToFit="0" vertical="bottom" wrapText="1"/>
    </xf>
    <xf borderId="0" fillId="8" fontId="37" numFmtId="0" xfId="0" applyAlignment="1" applyFont="1">
      <alignment horizontal="center" readingOrder="0" vertical="bottom"/>
    </xf>
    <xf borderId="2" fillId="8" fontId="3" numFmtId="0" xfId="0" applyAlignment="1" applyBorder="1" applyFont="1">
      <alignment vertical="bottom"/>
    </xf>
    <xf borderId="2" fillId="12" fontId="40" numFmtId="0" xfId="0" applyAlignment="1" applyBorder="1" applyFont="1">
      <alignment horizontal="center" vertical="bottom"/>
    </xf>
    <xf borderId="2" fillId="8" fontId="39" numFmtId="0" xfId="0" applyAlignment="1" applyBorder="1" applyFont="1">
      <alignment vertical="bottom"/>
    </xf>
    <xf borderId="2" fillId="5" fontId="39" numFmtId="0" xfId="0" applyAlignment="1" applyBorder="1" applyFont="1">
      <alignment vertical="bottom"/>
    </xf>
    <xf borderId="1" fillId="2" fontId="9" numFmtId="0" xfId="0" applyAlignment="1" applyBorder="1" applyFont="1">
      <alignment horizontal="center" readingOrder="0"/>
    </xf>
    <xf borderId="0" fillId="2" fontId="9" numFmtId="0" xfId="0" applyAlignment="1" applyFont="1">
      <alignment horizontal="center" readingOrder="0"/>
    </xf>
    <xf borderId="2" fillId="12" fontId="41" numFmtId="0" xfId="0" applyAlignment="1" applyBorder="1" applyFont="1">
      <alignment vertical="bottom"/>
    </xf>
    <xf borderId="2" fillId="2" fontId="9" numFmtId="0" xfId="0" applyAlignment="1" applyBorder="1" applyFont="1">
      <alignment horizontal="center" readingOrder="0"/>
    </xf>
    <xf borderId="2" fillId="12" fontId="42" numFmtId="0" xfId="0" applyAlignment="1" applyBorder="1" applyFont="1">
      <alignment horizontal="center" vertical="bottom"/>
    </xf>
    <xf borderId="0" fillId="15" fontId="22" numFmtId="0" xfId="0" applyAlignment="1" applyFill="1" applyFont="1">
      <alignment horizontal="center" readingOrder="0"/>
    </xf>
    <xf borderId="0" fillId="0" fontId="28" numFmtId="0" xfId="0" applyAlignment="1" applyFont="1">
      <alignment horizontal="left"/>
    </xf>
    <xf borderId="2" fillId="7" fontId="43" numFmtId="0" xfId="0" applyAlignment="1" applyBorder="1" applyFont="1">
      <alignment vertical="bottom"/>
    </xf>
    <xf borderId="2" fillId="0" fontId="8" numFmtId="0" xfId="0" applyAlignment="1" applyBorder="1" applyFont="1">
      <alignment horizontal="left" readingOrder="0"/>
    </xf>
    <xf borderId="2" fillId="7" fontId="3" numFmtId="0" xfId="0" applyAlignment="1" applyBorder="1" applyFont="1">
      <alignment vertical="bottom"/>
    </xf>
    <xf borderId="2" fillId="2" fontId="28" numFmtId="0" xfId="0" applyAlignment="1" applyBorder="1" applyFont="1">
      <alignment readingOrder="0"/>
    </xf>
    <xf borderId="2" fillId="7" fontId="42" numFmtId="0" xfId="0" applyAlignment="1" applyBorder="1" applyFont="1">
      <alignment horizontal="center" vertical="bottom"/>
    </xf>
    <xf borderId="2" fillId="0" fontId="4" numFmtId="0" xfId="0" applyAlignment="1" applyBorder="1" applyFont="1">
      <alignment horizontal="left" readingOrder="0"/>
    </xf>
    <xf borderId="2" fillId="7" fontId="19" numFmtId="0" xfId="0" applyAlignment="1" applyBorder="1" applyFont="1">
      <alignment horizontal="left" readingOrder="0" vertical="bottom"/>
    </xf>
    <xf borderId="2" fillId="2" fontId="28" numFmtId="0" xfId="0" applyBorder="1" applyFont="1"/>
    <xf borderId="2" fillId="0" fontId="2" numFmtId="0" xfId="0" applyAlignment="1" applyBorder="1" applyFont="1">
      <alignment horizontal="left"/>
    </xf>
    <xf borderId="2" fillId="0" fontId="2" numFmtId="0" xfId="0" applyBorder="1" applyFont="1"/>
    <xf borderId="2" fillId="8" fontId="20" numFmtId="0" xfId="0" applyAlignment="1" applyBorder="1" applyFont="1">
      <alignment horizontal="left" vertical="bottom"/>
    </xf>
    <xf borderId="2" fillId="8" fontId="25" numFmtId="0" xfId="0" applyAlignment="1" applyBorder="1" applyFont="1">
      <alignment horizontal="left" readingOrder="0" vertical="bottom"/>
    </xf>
    <xf borderId="2" fillId="7" fontId="25" numFmtId="0" xfId="0" applyAlignment="1" applyBorder="1" applyFont="1">
      <alignment horizontal="left" vertical="bottom"/>
    </xf>
    <xf borderId="2" fillId="8" fontId="44" numFmtId="0" xfId="0" applyAlignment="1" applyBorder="1" applyFont="1">
      <alignment horizontal="left" readingOrder="0" shrinkToFit="0" vertical="bottom" wrapText="1"/>
    </xf>
    <xf borderId="2" fillId="7" fontId="20" numFmtId="0" xfId="0" applyAlignment="1" applyBorder="1" applyFont="1">
      <alignment vertical="bottom"/>
    </xf>
    <xf borderId="2" fillId="9" fontId="20" numFmtId="0" xfId="0" applyAlignment="1" applyBorder="1" applyFont="1">
      <alignment shrinkToFit="0" vertical="bottom" wrapText="1"/>
    </xf>
    <xf borderId="2" fillId="10" fontId="17" numFmtId="0" xfId="0" applyAlignment="1" applyBorder="1" applyFont="1">
      <alignment vertical="bottom"/>
    </xf>
    <xf borderId="2" fillId="10" fontId="45" numFmtId="0" xfId="0" applyAlignment="1" applyBorder="1" applyFont="1">
      <alignment vertical="bottom"/>
    </xf>
    <xf borderId="2" fillId="7" fontId="25" numFmtId="0" xfId="0" applyAlignment="1" applyBorder="1" applyFont="1">
      <alignment horizontal="left" readingOrder="0" vertical="bottom"/>
    </xf>
    <xf borderId="2" fillId="10" fontId="45" numFmtId="0" xfId="0" applyAlignment="1" applyBorder="1" applyFont="1">
      <alignment horizontal="center" vertical="bottom"/>
    </xf>
    <xf borderId="2" fillId="7" fontId="37" numFmtId="0" xfId="0" applyAlignment="1" applyBorder="1" applyFont="1">
      <alignment vertical="bottom"/>
    </xf>
    <xf borderId="2" fillId="7" fontId="31" numFmtId="0" xfId="0" applyAlignment="1" applyBorder="1" applyFont="1">
      <alignment vertical="bottom"/>
    </xf>
    <xf borderId="2" fillId="5" fontId="19" numFmtId="0" xfId="0" applyAlignment="1" applyBorder="1" applyFont="1">
      <alignment vertical="bottom"/>
    </xf>
    <xf borderId="2" fillId="8" fontId="43" numFmtId="0" xfId="0" applyAlignment="1" applyBorder="1" applyFont="1">
      <alignment horizontal="right" vertical="bottom"/>
    </xf>
    <xf borderId="2" fillId="0" fontId="46" numFmtId="0" xfId="0" applyBorder="1" applyFont="1"/>
    <xf borderId="0" fillId="0" fontId="46" numFmtId="0" xfId="0" applyAlignment="1" applyFont="1">
      <alignment readingOrder="0"/>
    </xf>
    <xf borderId="0" fillId="0" fontId="28" numFmtId="0" xfId="0" applyAlignment="1" applyFont="1">
      <alignment readingOrder="0"/>
    </xf>
    <xf borderId="2" fillId="8" fontId="25" numFmtId="0" xfId="0" applyAlignment="1" applyBorder="1" applyFont="1">
      <alignment horizontal="left" vertical="bottom"/>
    </xf>
    <xf borderId="0" fillId="0" fontId="46" numFmtId="0" xfId="0" applyFont="1"/>
    <xf borderId="2" fillId="8" fontId="47" numFmtId="0" xfId="0" applyAlignment="1" applyBorder="1" applyFont="1">
      <alignment horizontal="left" shrinkToFit="0" vertical="bottom" wrapText="1"/>
    </xf>
    <xf borderId="2" fillId="7" fontId="31" numFmtId="0" xfId="0" applyAlignment="1" applyBorder="1" applyFont="1">
      <alignment vertical="bottom"/>
    </xf>
    <xf borderId="0" fillId="0" fontId="4" numFmtId="0" xfId="0" applyFont="1"/>
    <xf borderId="2" fillId="16" fontId="19" numFmtId="0" xfId="0" applyAlignment="1" applyBorder="1" applyFill="1" applyFont="1">
      <alignment vertical="bottom"/>
    </xf>
    <xf borderId="2" fillId="7" fontId="19" numFmtId="0" xfId="0" applyAlignment="1" applyBorder="1" applyFont="1">
      <alignment horizontal="left" vertical="bottom"/>
    </xf>
    <xf borderId="2" fillId="8" fontId="20" numFmtId="0" xfId="0" applyAlignment="1" applyBorder="1" applyFont="1">
      <alignment horizontal="left" readingOrder="0" vertical="bottom"/>
    </xf>
    <xf borderId="2" fillId="8" fontId="21" numFmtId="0" xfId="0" applyAlignment="1" applyBorder="1" applyFont="1">
      <alignment horizontal="left" readingOrder="0" shrinkToFit="0" vertical="bottom" wrapText="1"/>
    </xf>
    <xf borderId="2" fillId="0" fontId="31" numFmtId="0" xfId="0" applyAlignment="1" applyBorder="1" applyFont="1">
      <alignment vertical="bottom"/>
    </xf>
    <xf borderId="2" fillId="8" fontId="47" numFmtId="0" xfId="0" applyAlignment="1" applyBorder="1" applyFont="1">
      <alignment horizontal="left" readingOrder="0" shrinkToFit="0" vertical="bottom" wrapText="1"/>
    </xf>
    <xf borderId="2" fillId="5" fontId="31" numFmtId="0" xfId="0" applyAlignment="1" applyBorder="1" applyFont="1">
      <alignment vertical="bottom"/>
    </xf>
    <xf borderId="5" fillId="8" fontId="38" numFmtId="0" xfId="0" applyAlignment="1" applyBorder="1" applyFont="1">
      <alignment horizontal="right" vertical="bottom"/>
    </xf>
    <xf borderId="2" fillId="5" fontId="31" numFmtId="0" xfId="0" applyAlignment="1" applyBorder="1" applyFont="1">
      <alignment vertical="bottom"/>
    </xf>
    <xf borderId="2" fillId="8" fontId="31" numFmtId="0" xfId="0" applyAlignment="1" applyBorder="1" applyFont="1">
      <alignment horizontal="left" vertical="bottom"/>
    </xf>
    <xf borderId="2" fillId="9" fontId="20" numFmtId="0" xfId="0" applyAlignment="1" applyBorder="1" applyFont="1">
      <alignment horizontal="left" vertical="bottom"/>
    </xf>
    <xf borderId="2" fillId="9" fontId="25" numFmtId="0" xfId="0" applyAlignment="1" applyBorder="1" applyFont="1">
      <alignment horizontal="left" vertical="bottom"/>
    </xf>
    <xf borderId="5" fillId="9" fontId="21" numFmtId="0" xfId="0" applyAlignment="1" applyBorder="1" applyFont="1">
      <alignment horizontal="left" readingOrder="0" shrinkToFit="0" vertical="bottom" wrapText="1"/>
    </xf>
    <xf borderId="2" fillId="7" fontId="48" numFmtId="0" xfId="0" applyAlignment="1" applyBorder="1" applyFont="1">
      <alignment horizontal="left" vertical="bottom"/>
    </xf>
    <xf borderId="5" fillId="9" fontId="21" numFmtId="0" xfId="0" applyAlignment="1" applyBorder="1" applyFont="1">
      <alignment horizontal="left" readingOrder="0" vertical="bottom"/>
    </xf>
    <xf borderId="5" fillId="7" fontId="19" numFmtId="0" xfId="0" applyAlignment="1" applyBorder="1" applyFont="1">
      <alignment horizontal="left" vertical="bottom"/>
    </xf>
    <xf borderId="2" fillId="9" fontId="19" numFmtId="0" xfId="0" applyAlignment="1" applyBorder="1" applyFont="1">
      <alignment horizontal="left" vertical="bottom"/>
    </xf>
    <xf borderId="2" fillId="9" fontId="47" numFmtId="0" xfId="0" applyAlignment="1" applyBorder="1" applyFont="1">
      <alignment horizontal="left" readingOrder="0" shrinkToFit="0" vertical="bottom" wrapText="1"/>
    </xf>
    <xf borderId="2" fillId="0" fontId="49" numFmtId="0" xfId="0" applyAlignment="1" applyBorder="1" applyFont="1">
      <alignment horizontal="left"/>
    </xf>
    <xf borderId="2" fillId="0" fontId="49" numFmtId="0" xfId="0" applyAlignment="1" applyBorder="1" applyFont="1">
      <alignment horizontal="left" readingOrder="0"/>
    </xf>
    <xf borderId="2" fillId="0" fontId="2" numFmtId="0" xfId="0" applyAlignment="1" applyBorder="1" applyFont="1">
      <alignment horizontal="left" readingOrder="0"/>
    </xf>
    <xf borderId="2" fillId="9" fontId="25" numFmtId="0" xfId="0" applyAlignment="1" applyBorder="1" applyFont="1">
      <alignment horizontal="left" readingOrder="0" vertical="bottom"/>
    </xf>
    <xf borderId="0" fillId="2" fontId="28" numFmtId="0" xfId="0" applyFont="1"/>
    <xf borderId="0" fillId="2" fontId="50" numFmtId="0" xfId="0" applyAlignment="1" applyFont="1">
      <alignment horizontal="center" readingOrder="0"/>
    </xf>
    <xf borderId="2" fillId="8" fontId="20" numFmtId="0" xfId="0" applyAlignment="1" applyBorder="1" applyFont="1">
      <alignment shrinkToFit="0" vertical="bottom" wrapText="1"/>
    </xf>
    <xf borderId="2" fillId="0" fontId="29" numFmtId="0" xfId="0" applyAlignment="1" applyBorder="1" applyFont="1">
      <alignment horizontal="left"/>
    </xf>
    <xf borderId="2" fillId="0" fontId="9" numFmtId="0" xfId="0" applyAlignment="1" applyBorder="1" applyFont="1">
      <alignment horizontal="center" readingOrder="0"/>
    </xf>
    <xf borderId="0" fillId="0" fontId="49" numFmtId="0" xfId="0" applyAlignment="1" applyFont="1">
      <alignment horizontal="left"/>
    </xf>
    <xf borderId="0" fillId="0" fontId="29" numFmtId="0" xfId="0" applyAlignment="1" applyFont="1">
      <alignment horizontal="left"/>
    </xf>
    <xf borderId="6" fillId="17" fontId="20" numFmtId="0" xfId="0" applyAlignment="1" applyBorder="1" applyFill="1" applyFont="1">
      <alignment readingOrder="0" shrinkToFit="0" vertical="bottom" wrapText="1"/>
    </xf>
    <xf borderId="2" fillId="0" fontId="7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l.no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3.38"/>
    <col customWidth="1" min="3" max="3" width="24.38"/>
    <col customWidth="1" min="4" max="4" width="72.63"/>
    <col customWidth="1" min="5" max="5" width="21.38"/>
    <col customWidth="1" min="6" max="6" width="17.63"/>
    <col customWidth="1" min="7" max="7" width="14.63"/>
    <col customWidth="1" min="8" max="8" width="14.13"/>
    <col customWidth="1" min="9" max="9" width="14.38"/>
    <col customWidth="1" min="10" max="10" width="14.63"/>
    <col customWidth="1" min="11" max="11" width="16.38"/>
    <col customWidth="1" min="12" max="12" width="19.63"/>
    <col customWidth="1" min="13" max="13" width="15.63"/>
    <col customWidth="1" min="14" max="14" width="17.63"/>
    <col customWidth="1" min="15" max="15" width="14.63"/>
    <col customWidth="1" min="16" max="16" width="14.38"/>
    <col customWidth="1" min="18" max="18" width="15.88"/>
  </cols>
  <sheetData>
    <row r="1">
      <c r="A1" s="4" t="s">
        <v>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8"/>
    </row>
    <row r="2">
      <c r="A2" s="15" t="s">
        <v>9</v>
      </c>
      <c r="B2" s="17" t="s">
        <v>14</v>
      </c>
      <c r="C2" s="17" t="s">
        <v>16</v>
      </c>
      <c r="D2" s="17" t="s">
        <v>17</v>
      </c>
      <c r="E2" s="21" t="s">
        <v>18</v>
      </c>
      <c r="F2" s="17" t="s">
        <v>22</v>
      </c>
      <c r="G2" s="17" t="s">
        <v>23</v>
      </c>
      <c r="H2" s="17" t="s">
        <v>25</v>
      </c>
      <c r="I2" s="17" t="s">
        <v>26</v>
      </c>
      <c r="J2" s="17" t="s">
        <v>27</v>
      </c>
      <c r="K2" s="17" t="s">
        <v>28</v>
      </c>
      <c r="L2" s="21" t="s">
        <v>30</v>
      </c>
      <c r="M2" s="25" t="s">
        <v>31</v>
      </c>
      <c r="N2" s="21" t="s">
        <v>33</v>
      </c>
      <c r="O2" s="21" t="s">
        <v>34</v>
      </c>
      <c r="P2" s="21" t="s">
        <v>37</v>
      </c>
      <c r="Q2" s="28"/>
      <c r="R2" s="30" t="s">
        <v>10</v>
      </c>
    </row>
    <row r="3">
      <c r="A3" s="28"/>
      <c r="B3" s="28"/>
      <c r="C3" s="28"/>
      <c r="D3" s="31" t="s">
        <v>39</v>
      </c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</row>
    <row r="5">
      <c r="A5" s="35">
        <v>1.0</v>
      </c>
      <c r="B5" s="36" t="s">
        <v>57</v>
      </c>
      <c r="C5" s="38" t="s">
        <v>58</v>
      </c>
      <c r="D5" s="39" t="s">
        <v>60</v>
      </c>
      <c r="E5" s="33"/>
      <c r="F5" s="33"/>
      <c r="G5" s="33"/>
      <c r="H5" s="33"/>
      <c r="I5" s="33"/>
      <c r="J5" s="33"/>
      <c r="K5" s="33"/>
      <c r="L5" s="41">
        <v>15000.0</v>
      </c>
      <c r="M5" s="33"/>
      <c r="N5" s="33"/>
      <c r="O5" s="33"/>
      <c r="P5" s="33"/>
      <c r="Q5" s="33"/>
      <c r="R5" s="33"/>
    </row>
    <row r="6">
      <c r="A6" s="35">
        <v>2.0</v>
      </c>
      <c r="B6" s="36" t="s">
        <v>63</v>
      </c>
      <c r="C6" s="38" t="s">
        <v>64</v>
      </c>
      <c r="D6" s="39" t="s">
        <v>65</v>
      </c>
      <c r="E6" s="33"/>
      <c r="F6" s="33"/>
      <c r="G6" s="33"/>
      <c r="H6" s="33"/>
      <c r="I6" s="33"/>
      <c r="J6" s="33"/>
      <c r="K6" s="41">
        <v>15000.0</v>
      </c>
      <c r="L6" s="33"/>
      <c r="M6" s="33"/>
      <c r="N6" s="33"/>
      <c r="O6" s="33"/>
      <c r="P6" s="33"/>
      <c r="Q6" s="33"/>
      <c r="R6" s="33"/>
    </row>
    <row r="7">
      <c r="A7" s="35">
        <v>3.0</v>
      </c>
      <c r="B7" s="36" t="s">
        <v>66</v>
      </c>
      <c r="C7" s="38" t="s">
        <v>64</v>
      </c>
      <c r="D7" s="45" t="s">
        <v>67</v>
      </c>
      <c r="E7" s="41">
        <v>2190.0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</row>
    <row r="8">
      <c r="A8" s="35">
        <v>4.0</v>
      </c>
      <c r="B8" s="36" t="s">
        <v>35</v>
      </c>
      <c r="C8" s="38" t="s">
        <v>71</v>
      </c>
      <c r="D8" s="39" t="s">
        <v>72</v>
      </c>
      <c r="E8" s="33"/>
      <c r="F8" s="41">
        <v>200000.0</v>
      </c>
      <c r="G8" s="33"/>
      <c r="H8" s="33"/>
      <c r="I8" s="33"/>
      <c r="J8" s="33"/>
      <c r="K8" s="33"/>
      <c r="L8" s="41">
        <v>70000.0</v>
      </c>
      <c r="M8" s="33"/>
      <c r="N8" s="33"/>
      <c r="O8" s="33"/>
      <c r="P8" s="33"/>
      <c r="Q8" s="33"/>
      <c r="R8" s="33"/>
    </row>
    <row r="9">
      <c r="A9" s="35">
        <v>5.0</v>
      </c>
      <c r="B9" s="36" t="s">
        <v>42</v>
      </c>
      <c r="C9" s="38" t="s">
        <v>64</v>
      </c>
      <c r="D9" s="39" t="s">
        <v>60</v>
      </c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</row>
    <row r="10">
      <c r="A10" s="35">
        <v>6.0</v>
      </c>
      <c r="B10" s="36" t="s">
        <v>77</v>
      </c>
      <c r="C10" s="38" t="s">
        <v>71</v>
      </c>
      <c r="D10" s="39" t="s">
        <v>78</v>
      </c>
      <c r="E10" s="33"/>
      <c r="F10" s="33"/>
      <c r="G10" s="33"/>
      <c r="H10" s="41">
        <v>300000.0</v>
      </c>
      <c r="I10" s="33"/>
      <c r="J10" s="33"/>
      <c r="K10" s="33"/>
      <c r="L10" s="33"/>
      <c r="M10" s="33"/>
      <c r="N10" s="33"/>
      <c r="O10" s="33"/>
      <c r="P10" s="33"/>
      <c r="Q10" s="33"/>
      <c r="R10" s="33"/>
    </row>
    <row r="11">
      <c r="A11" s="35">
        <v>7.0</v>
      </c>
      <c r="B11" s="36" t="s">
        <v>79</v>
      </c>
      <c r="C11" s="38" t="s">
        <v>80</v>
      </c>
      <c r="D11" s="39" t="s">
        <v>81</v>
      </c>
      <c r="E11" s="33"/>
      <c r="F11" s="33"/>
      <c r="G11" s="33"/>
      <c r="H11" s="33"/>
      <c r="I11" s="33"/>
      <c r="J11" s="33"/>
      <c r="K11" s="33"/>
      <c r="L11" s="33"/>
      <c r="M11" s="41">
        <v>14000.0</v>
      </c>
      <c r="N11" s="33"/>
      <c r="O11" s="33"/>
      <c r="P11" s="33"/>
      <c r="Q11" s="33"/>
      <c r="R11" s="33"/>
    </row>
    <row r="12">
      <c r="A12" s="35">
        <v>8.0</v>
      </c>
      <c r="B12" s="36" t="s">
        <v>82</v>
      </c>
      <c r="C12" s="38" t="s">
        <v>71</v>
      </c>
      <c r="D12" s="39" t="s">
        <v>83</v>
      </c>
      <c r="E12" s="33"/>
      <c r="F12" s="33"/>
      <c r="G12" s="33"/>
      <c r="H12" s="33"/>
      <c r="I12" s="33"/>
      <c r="J12" s="41">
        <v>3500.0</v>
      </c>
      <c r="K12" s="33"/>
      <c r="L12" s="33"/>
      <c r="M12" s="33"/>
      <c r="N12" s="33"/>
      <c r="O12" s="33"/>
      <c r="P12" s="33"/>
      <c r="Q12" s="33"/>
      <c r="R12" s="33"/>
    </row>
    <row r="13">
      <c r="A13" s="35">
        <v>9.0</v>
      </c>
      <c r="B13" s="36" t="s">
        <v>82</v>
      </c>
      <c r="C13" s="38" t="s">
        <v>80</v>
      </c>
      <c r="D13" s="39" t="s">
        <v>84</v>
      </c>
      <c r="E13" s="33"/>
      <c r="F13" s="41">
        <v>20000.0</v>
      </c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</row>
    <row r="14">
      <c r="A14" s="35">
        <v>10.0</v>
      </c>
      <c r="B14" s="36" t="s">
        <v>82</v>
      </c>
      <c r="C14" s="38" t="s">
        <v>80</v>
      </c>
      <c r="D14" s="39" t="s">
        <v>85</v>
      </c>
      <c r="E14" s="33"/>
      <c r="F14" s="33"/>
      <c r="G14" s="41">
        <v>100000.0</v>
      </c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</row>
    <row r="15">
      <c r="A15" s="35">
        <v>11.0</v>
      </c>
      <c r="B15" s="36" t="s">
        <v>86</v>
      </c>
      <c r="C15" s="38" t="s">
        <v>80</v>
      </c>
      <c r="D15" s="39" t="s">
        <v>85</v>
      </c>
      <c r="E15" s="33"/>
      <c r="F15" s="33"/>
      <c r="G15" s="41">
        <v>104500.0</v>
      </c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</row>
    <row r="16">
      <c r="A16" s="35">
        <v>12.0</v>
      </c>
      <c r="B16" s="36" t="s">
        <v>94</v>
      </c>
      <c r="C16" s="38" t="s">
        <v>71</v>
      </c>
      <c r="D16" s="45" t="s">
        <v>96</v>
      </c>
      <c r="E16" s="41">
        <v>300.0</v>
      </c>
      <c r="F16" s="33"/>
      <c r="G16" s="33"/>
      <c r="H16" s="33"/>
      <c r="I16" s="33"/>
      <c r="J16" s="33"/>
      <c r="K16" s="41">
        <v>20000.0</v>
      </c>
      <c r="L16" s="41">
        <v>16000.0</v>
      </c>
      <c r="M16" s="33"/>
      <c r="N16" s="33"/>
      <c r="O16" s="33"/>
      <c r="P16" s="33"/>
      <c r="Q16" s="33"/>
      <c r="R16" s="33"/>
    </row>
    <row r="17">
      <c r="A17" s="35">
        <v>13.0</v>
      </c>
      <c r="B17" s="36" t="s">
        <v>101</v>
      </c>
      <c r="C17" s="38" t="s">
        <v>80</v>
      </c>
      <c r="D17" s="39" t="s">
        <v>102</v>
      </c>
      <c r="E17" s="33"/>
      <c r="F17" s="33"/>
      <c r="G17" s="33"/>
      <c r="H17" s="33"/>
      <c r="I17" s="41">
        <v>50000.0</v>
      </c>
      <c r="J17" s="33"/>
      <c r="K17" s="33"/>
      <c r="L17" s="33"/>
      <c r="M17" s="33"/>
      <c r="N17" s="33"/>
      <c r="O17" s="33"/>
      <c r="P17" s="33"/>
      <c r="Q17" s="33"/>
      <c r="R17" s="33"/>
    </row>
    <row r="18">
      <c r="A18" s="35"/>
      <c r="B18" s="66" t="s">
        <v>106</v>
      </c>
      <c r="C18" s="67" t="s">
        <v>107</v>
      </c>
      <c r="D18" s="68" t="s">
        <v>108</v>
      </c>
      <c r="E18" s="70">
        <v>1000.0</v>
      </c>
      <c r="F18" s="33"/>
      <c r="G18" s="33"/>
      <c r="H18" s="33"/>
      <c r="I18" s="33"/>
      <c r="J18" s="33"/>
      <c r="K18" s="33"/>
      <c r="L18" s="41"/>
      <c r="M18" s="33"/>
      <c r="N18" s="33"/>
      <c r="O18" s="33"/>
      <c r="P18" s="41"/>
      <c r="Q18" s="33"/>
      <c r="R18" s="33"/>
    </row>
    <row r="19">
      <c r="A19" s="35">
        <v>14.0</v>
      </c>
      <c r="B19" s="66" t="s">
        <v>106</v>
      </c>
      <c r="C19" s="38" t="s">
        <v>64</v>
      </c>
      <c r="D19" s="68" t="s">
        <v>60</v>
      </c>
      <c r="E19" s="33"/>
      <c r="F19" s="33"/>
      <c r="G19" s="33"/>
      <c r="H19" s="33"/>
      <c r="I19" s="33"/>
      <c r="J19" s="33"/>
      <c r="K19" s="33"/>
      <c r="L19" s="41">
        <v>70000.0</v>
      </c>
      <c r="M19" s="33"/>
      <c r="N19" s="33"/>
      <c r="O19" s="33"/>
      <c r="P19" s="41"/>
      <c r="Q19" s="33"/>
      <c r="R19" s="33"/>
    </row>
    <row r="20">
      <c r="A20" s="35">
        <v>15.0</v>
      </c>
      <c r="B20" s="66" t="s">
        <v>117</v>
      </c>
      <c r="C20" s="38" t="s">
        <v>71</v>
      </c>
      <c r="D20" s="68" t="s">
        <v>118</v>
      </c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41">
        <v>5680.0</v>
      </c>
      <c r="Q20" s="33"/>
      <c r="R20" s="33"/>
    </row>
    <row r="21">
      <c r="A21" s="35"/>
      <c r="B21" s="66" t="s">
        <v>117</v>
      </c>
      <c r="C21" s="38" t="s">
        <v>71</v>
      </c>
      <c r="D21" s="72" t="s">
        <v>121</v>
      </c>
      <c r="E21" s="74">
        <v>2000.0</v>
      </c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41"/>
      <c r="Q21" s="33"/>
      <c r="R21" s="33"/>
    </row>
    <row r="22">
      <c r="A22" s="35">
        <v>16.0</v>
      </c>
      <c r="B22" s="66" t="s">
        <v>122</v>
      </c>
      <c r="C22" s="76" t="s">
        <v>80</v>
      </c>
      <c r="D22" s="77" t="s">
        <v>123</v>
      </c>
      <c r="E22" s="33"/>
      <c r="F22" s="33"/>
      <c r="G22" s="33"/>
      <c r="H22" s="33"/>
      <c r="I22" s="70">
        <v>30000.0</v>
      </c>
      <c r="J22" s="33"/>
      <c r="K22" s="33"/>
      <c r="L22" s="33"/>
      <c r="M22" s="33"/>
      <c r="N22" s="33"/>
      <c r="O22" s="33"/>
      <c r="P22" s="33"/>
      <c r="Q22" s="33"/>
      <c r="R22" s="33"/>
    </row>
    <row r="23">
      <c r="A23" s="35">
        <v>17.0</v>
      </c>
      <c r="B23" s="66" t="s">
        <v>122</v>
      </c>
      <c r="C23" s="76" t="s">
        <v>71</v>
      </c>
      <c r="D23" s="77" t="s">
        <v>124</v>
      </c>
      <c r="E23" s="33"/>
      <c r="F23" s="33"/>
      <c r="G23" s="33"/>
      <c r="H23" s="33"/>
      <c r="I23" s="33"/>
      <c r="J23" s="33"/>
      <c r="K23" s="33"/>
      <c r="L23" s="33"/>
      <c r="M23" s="33"/>
      <c r="N23" s="70">
        <v>2200.0</v>
      </c>
      <c r="O23" s="33"/>
      <c r="P23" s="33"/>
      <c r="Q23" s="33"/>
      <c r="R23" s="33"/>
    </row>
    <row r="24">
      <c r="A24" s="35">
        <v>18.0</v>
      </c>
      <c r="B24" s="66" t="s">
        <v>125</v>
      </c>
      <c r="C24" s="76" t="s">
        <v>64</v>
      </c>
      <c r="D24" s="78" t="s">
        <v>126</v>
      </c>
      <c r="E24" s="33"/>
      <c r="F24" s="33"/>
      <c r="G24" s="33"/>
      <c r="H24" s="33"/>
      <c r="I24" s="33"/>
      <c r="J24" s="33"/>
      <c r="K24" s="33"/>
      <c r="L24" s="41">
        <v>50000.0</v>
      </c>
      <c r="M24" s="33"/>
      <c r="N24" s="33"/>
      <c r="O24" s="33"/>
      <c r="P24" s="33"/>
      <c r="Q24" s="33"/>
      <c r="R24" s="33"/>
    </row>
    <row r="25">
      <c r="A25" s="35">
        <v>19.0</v>
      </c>
      <c r="B25" s="66" t="s">
        <v>127</v>
      </c>
      <c r="C25" s="76" t="s">
        <v>71</v>
      </c>
      <c r="D25" s="77" t="s">
        <v>128</v>
      </c>
      <c r="E25" s="33"/>
      <c r="F25" s="33"/>
      <c r="G25" s="33"/>
      <c r="H25" s="33"/>
      <c r="I25" s="33"/>
      <c r="J25" s="70">
        <v>2650.0</v>
      </c>
      <c r="K25" s="33"/>
      <c r="L25" s="33"/>
      <c r="M25" s="33"/>
      <c r="N25" s="33"/>
      <c r="O25" s="33"/>
      <c r="P25" s="33"/>
      <c r="Q25" s="33"/>
      <c r="R25" s="33"/>
    </row>
    <row r="26">
      <c r="A26" s="35">
        <v>20.0</v>
      </c>
      <c r="B26" s="82" t="s">
        <v>132</v>
      </c>
      <c r="C26" s="38" t="s">
        <v>64</v>
      </c>
      <c r="D26" s="83" t="s">
        <v>134</v>
      </c>
      <c r="E26" s="70">
        <v>5470.0</v>
      </c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</row>
    <row r="27">
      <c r="A27" s="35">
        <v>21.0</v>
      </c>
      <c r="B27" s="66" t="s">
        <v>127</v>
      </c>
      <c r="C27" s="76" t="s">
        <v>64</v>
      </c>
      <c r="D27" s="77" t="s">
        <v>138</v>
      </c>
      <c r="E27" s="70">
        <v>4000.0</v>
      </c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</row>
    <row r="28">
      <c r="A28" s="35">
        <v>22.0</v>
      </c>
      <c r="B28" s="66" t="s">
        <v>140</v>
      </c>
      <c r="C28" s="76" t="s">
        <v>80</v>
      </c>
      <c r="D28" s="77" t="s">
        <v>141</v>
      </c>
      <c r="E28" s="33"/>
      <c r="F28" s="33"/>
      <c r="G28" s="33"/>
      <c r="H28" s="33"/>
      <c r="I28" s="70">
        <v>20000.0</v>
      </c>
      <c r="J28" s="33"/>
      <c r="K28" s="33"/>
      <c r="L28" s="33"/>
      <c r="M28" s="33"/>
      <c r="N28" s="33"/>
      <c r="O28" s="33"/>
      <c r="P28" s="33"/>
      <c r="Q28" s="33"/>
      <c r="R28" s="33"/>
    </row>
    <row r="29">
      <c r="A29" s="35">
        <v>23.0</v>
      </c>
      <c r="B29" s="66" t="s">
        <v>99</v>
      </c>
      <c r="C29" s="76" t="s">
        <v>80</v>
      </c>
      <c r="D29" s="77" t="s">
        <v>144</v>
      </c>
      <c r="E29" s="33"/>
      <c r="F29" s="33"/>
      <c r="G29" s="33"/>
      <c r="H29" s="33"/>
      <c r="I29" s="41">
        <v>38000.0</v>
      </c>
      <c r="J29" s="33"/>
      <c r="K29" s="33"/>
      <c r="L29" s="33"/>
      <c r="M29" s="33"/>
      <c r="N29" s="33"/>
      <c r="O29" s="33"/>
      <c r="P29" s="33"/>
      <c r="Q29" s="33"/>
      <c r="R29" s="33"/>
    </row>
    <row r="30">
      <c r="A30" s="35">
        <v>24.0</v>
      </c>
      <c r="B30" s="66" t="s">
        <v>99</v>
      </c>
      <c r="C30" s="76" t="s">
        <v>80</v>
      </c>
      <c r="D30" s="77" t="s">
        <v>147</v>
      </c>
      <c r="E30" s="33"/>
      <c r="F30" s="33"/>
      <c r="G30" s="41">
        <v>50000.0</v>
      </c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</row>
    <row r="31">
      <c r="A31" s="35">
        <v>25.0</v>
      </c>
      <c r="B31" s="66" t="s">
        <v>150</v>
      </c>
      <c r="C31" s="76" t="s">
        <v>80</v>
      </c>
      <c r="D31" s="77" t="s">
        <v>151</v>
      </c>
      <c r="E31" s="88"/>
      <c r="F31" s="33"/>
      <c r="G31" s="33"/>
      <c r="H31" s="33"/>
      <c r="I31" s="33"/>
      <c r="J31" s="33"/>
      <c r="K31" s="91">
        <v>22000.0</v>
      </c>
      <c r="L31" s="33"/>
      <c r="M31" s="33"/>
      <c r="N31" s="33"/>
      <c r="O31" s="33"/>
      <c r="P31" s="33"/>
      <c r="Q31" s="33"/>
      <c r="R31" s="33"/>
    </row>
    <row r="32">
      <c r="A32" s="35">
        <v>26.0</v>
      </c>
      <c r="B32" s="66" t="s">
        <v>150</v>
      </c>
      <c r="C32" s="76" t="s">
        <v>71</v>
      </c>
      <c r="D32" s="77" t="s">
        <v>154</v>
      </c>
      <c r="E32" s="88"/>
      <c r="F32" s="33"/>
      <c r="G32" s="33"/>
      <c r="H32" s="33"/>
      <c r="I32" s="33"/>
      <c r="J32" s="33"/>
      <c r="K32" s="33"/>
      <c r="L32" s="33"/>
      <c r="M32" s="91">
        <v>4000.0</v>
      </c>
      <c r="N32" s="33"/>
      <c r="O32" s="33"/>
      <c r="P32" s="33"/>
      <c r="Q32" s="33"/>
      <c r="R32" s="33"/>
    </row>
    <row r="33">
      <c r="A33" s="35">
        <v>27.0</v>
      </c>
      <c r="B33" s="66" t="s">
        <v>150</v>
      </c>
      <c r="C33" s="76" t="s">
        <v>71</v>
      </c>
      <c r="D33" s="77" t="s">
        <v>155</v>
      </c>
      <c r="E33" s="88"/>
      <c r="F33" s="33"/>
      <c r="G33" s="33"/>
      <c r="H33" s="33"/>
      <c r="I33" s="33"/>
      <c r="J33" s="33"/>
      <c r="K33" s="33"/>
      <c r="L33" s="33"/>
      <c r="M33" s="33"/>
      <c r="N33" s="91">
        <v>4000.0</v>
      </c>
      <c r="O33" s="33"/>
      <c r="P33" s="33"/>
      <c r="Q33" s="33"/>
      <c r="R33" s="33"/>
    </row>
    <row r="34">
      <c r="A34" s="35">
        <v>28.0</v>
      </c>
      <c r="B34" s="66" t="s">
        <v>156</v>
      </c>
      <c r="C34" s="92" t="s">
        <v>64</v>
      </c>
      <c r="D34" s="77" t="s">
        <v>157</v>
      </c>
      <c r="E34" s="91">
        <v>2000.0</v>
      </c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  <row r="35">
      <c r="A35" s="35">
        <v>29.0</v>
      </c>
      <c r="B35" s="66" t="s">
        <v>158</v>
      </c>
      <c r="C35" s="76" t="s">
        <v>80</v>
      </c>
      <c r="D35" s="77" t="s">
        <v>159</v>
      </c>
      <c r="E35" s="33"/>
      <c r="F35" s="33"/>
      <c r="G35" s="33"/>
      <c r="H35" s="33"/>
      <c r="I35" s="70">
        <v>50000.0</v>
      </c>
      <c r="J35" s="33"/>
      <c r="K35" s="33"/>
      <c r="L35" s="33"/>
      <c r="M35" s="33"/>
      <c r="N35" s="33"/>
      <c r="O35" s="33"/>
      <c r="P35" s="33"/>
      <c r="Q35" s="33"/>
      <c r="R35" s="33"/>
    </row>
    <row r="36">
      <c r="A36" s="35">
        <v>30.0</v>
      </c>
      <c r="B36" s="66" t="s">
        <v>109</v>
      </c>
      <c r="C36" s="76" t="s">
        <v>64</v>
      </c>
      <c r="D36" s="77" t="s">
        <v>160</v>
      </c>
      <c r="E36" s="33"/>
      <c r="F36" s="33"/>
      <c r="G36" s="33"/>
      <c r="H36" s="33"/>
      <c r="I36" s="33"/>
      <c r="J36" s="33"/>
      <c r="K36" s="33"/>
      <c r="L36" s="41">
        <v>50000.0</v>
      </c>
      <c r="M36" s="33"/>
      <c r="N36" s="33"/>
      <c r="O36" s="33"/>
      <c r="P36" s="33"/>
      <c r="Q36" s="33"/>
      <c r="R36" s="33"/>
    </row>
    <row r="37">
      <c r="A37" s="35">
        <v>31.0</v>
      </c>
      <c r="B37" s="66" t="s">
        <v>149</v>
      </c>
      <c r="C37" s="76" t="s">
        <v>80</v>
      </c>
      <c r="D37" s="77" t="s">
        <v>161</v>
      </c>
      <c r="E37" s="33"/>
      <c r="F37" s="33"/>
      <c r="G37" s="33"/>
      <c r="H37" s="41">
        <v>70000.0</v>
      </c>
      <c r="I37" s="33"/>
      <c r="J37" s="33"/>
      <c r="K37" s="33"/>
      <c r="L37" s="33"/>
      <c r="M37" s="33"/>
      <c r="N37" s="33"/>
      <c r="O37" s="33"/>
      <c r="P37" s="33"/>
      <c r="Q37" s="33"/>
      <c r="R37" s="33"/>
    </row>
    <row r="38">
      <c r="A38" s="35">
        <v>32.0</v>
      </c>
      <c r="B38" s="93" t="s">
        <v>162</v>
      </c>
      <c r="C38" s="76" t="s">
        <v>80</v>
      </c>
      <c r="D38" s="77" t="s">
        <v>163</v>
      </c>
      <c r="E38" s="33"/>
      <c r="F38" s="33"/>
      <c r="G38" s="33"/>
      <c r="H38" s="33"/>
      <c r="I38" s="33"/>
      <c r="J38" s="33"/>
      <c r="K38" s="33"/>
      <c r="L38" s="33"/>
      <c r="M38" s="33"/>
      <c r="N38" s="41">
        <v>7530.0</v>
      </c>
      <c r="O38" s="33"/>
      <c r="P38" s="33"/>
      <c r="Q38" s="33"/>
      <c r="R38" s="33"/>
    </row>
    <row r="39">
      <c r="A39" s="35">
        <v>33.0</v>
      </c>
      <c r="B39" s="93" t="s">
        <v>162</v>
      </c>
      <c r="C39" s="76" t="s">
        <v>71</v>
      </c>
      <c r="D39" s="77" t="s">
        <v>164</v>
      </c>
      <c r="E39" s="41">
        <v>3470.0</v>
      </c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</row>
    <row r="40">
      <c r="A40" s="35">
        <v>34.0</v>
      </c>
      <c r="B40" s="93" t="s">
        <v>165</v>
      </c>
      <c r="C40" s="76" t="s">
        <v>80</v>
      </c>
      <c r="D40" s="77" t="s">
        <v>167</v>
      </c>
      <c r="E40" s="88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91">
        <v>8000.0</v>
      </c>
      <c r="Q40" s="33"/>
      <c r="R40" s="33"/>
    </row>
    <row r="41">
      <c r="A41" s="35">
        <v>35.0</v>
      </c>
      <c r="B41" s="93" t="s">
        <v>168</v>
      </c>
      <c r="C41" s="76" t="s">
        <v>64</v>
      </c>
      <c r="D41" s="77" t="s">
        <v>169</v>
      </c>
      <c r="E41" s="33"/>
      <c r="F41" s="33"/>
      <c r="G41" s="33"/>
      <c r="H41" s="33"/>
      <c r="I41" s="33"/>
      <c r="J41" s="33"/>
      <c r="K41" s="33"/>
      <c r="L41" s="70">
        <v>10000.0</v>
      </c>
      <c r="M41" s="33"/>
      <c r="N41" s="33"/>
      <c r="O41" s="33"/>
      <c r="P41" s="33"/>
      <c r="Q41" s="33"/>
      <c r="R41" s="33"/>
    </row>
    <row r="42">
      <c r="A42" s="35">
        <v>36.0</v>
      </c>
      <c r="B42" s="66" t="s">
        <v>175</v>
      </c>
      <c r="C42" s="38" t="s">
        <v>64</v>
      </c>
      <c r="D42" s="100" t="s">
        <v>134</v>
      </c>
      <c r="E42" s="41">
        <v>1000.0</v>
      </c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</row>
    <row r="43">
      <c r="A43" s="35">
        <v>37.0</v>
      </c>
      <c r="B43" s="93" t="s">
        <v>177</v>
      </c>
      <c r="C43" s="76" t="s">
        <v>178</v>
      </c>
      <c r="D43" s="72" t="s">
        <v>179</v>
      </c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41">
        <v>6900.0</v>
      </c>
      <c r="Q43" s="33"/>
      <c r="R43" s="33"/>
    </row>
    <row r="44">
      <c r="A44" s="35">
        <v>38.0</v>
      </c>
      <c r="B44" s="93" t="s">
        <v>182</v>
      </c>
      <c r="C44" s="76" t="s">
        <v>178</v>
      </c>
      <c r="D44" s="72" t="s">
        <v>183</v>
      </c>
      <c r="E44" s="33"/>
      <c r="F44" s="33"/>
      <c r="G44" s="33"/>
      <c r="H44" s="33"/>
      <c r="I44" s="33"/>
      <c r="J44" s="33"/>
      <c r="K44" s="33"/>
      <c r="L44" s="33"/>
      <c r="M44" s="33"/>
      <c r="N44" s="41">
        <v>1120.0</v>
      </c>
      <c r="O44" s="33"/>
      <c r="P44" s="33"/>
      <c r="Q44" s="33"/>
      <c r="R44" s="33"/>
    </row>
    <row r="45">
      <c r="A45" s="35">
        <v>39.0</v>
      </c>
      <c r="B45" s="93" t="s">
        <v>185</v>
      </c>
      <c r="C45" s="110" t="s">
        <v>186</v>
      </c>
      <c r="D45" s="111" t="s">
        <v>187</v>
      </c>
      <c r="E45" s="112"/>
      <c r="F45" s="112"/>
      <c r="G45" s="112"/>
      <c r="H45" s="112"/>
      <c r="I45" s="112"/>
      <c r="J45" s="112"/>
      <c r="K45" s="112"/>
      <c r="L45" s="112"/>
      <c r="M45" s="112"/>
      <c r="N45" s="41">
        <v>2140.0</v>
      </c>
      <c r="O45" s="112"/>
      <c r="P45" s="112"/>
      <c r="Q45" s="112"/>
      <c r="R45" s="112"/>
    </row>
    <row r="46">
      <c r="A46" s="35">
        <v>40.0</v>
      </c>
      <c r="B46" s="121"/>
      <c r="C46" s="121"/>
      <c r="D46" s="122"/>
      <c r="E46" s="123"/>
      <c r="F46" s="123"/>
      <c r="G46" s="123"/>
      <c r="H46" s="123"/>
      <c r="I46" s="123"/>
      <c r="J46" s="123"/>
      <c r="K46" s="123"/>
      <c r="L46" s="123"/>
      <c r="M46" s="123"/>
      <c r="N46" s="123"/>
      <c r="O46" s="123"/>
      <c r="P46" s="123"/>
      <c r="Q46" s="123"/>
      <c r="R46" s="125" t="s">
        <v>194</v>
      </c>
    </row>
    <row r="47">
      <c r="A47" s="35">
        <v>41.0</v>
      </c>
      <c r="B47" s="93" t="s">
        <v>111</v>
      </c>
      <c r="C47" s="112" t="s">
        <v>195</v>
      </c>
      <c r="D47" s="111" t="s">
        <v>196</v>
      </c>
      <c r="E47" s="112"/>
      <c r="F47" s="112"/>
      <c r="G47" s="112"/>
      <c r="H47" s="125">
        <v>150000.0</v>
      </c>
      <c r="I47" s="112"/>
      <c r="J47" s="112"/>
      <c r="K47" s="112"/>
      <c r="L47" s="112"/>
      <c r="M47" s="112"/>
      <c r="N47" s="112"/>
      <c r="O47" s="112"/>
      <c r="P47" s="112"/>
      <c r="Q47" s="112"/>
      <c r="R47" s="112"/>
    </row>
    <row r="48">
      <c r="A48" s="35">
        <v>42.0</v>
      </c>
      <c r="B48" s="93" t="s">
        <v>111</v>
      </c>
      <c r="C48" s="125" t="s">
        <v>195</v>
      </c>
      <c r="D48" s="111" t="s">
        <v>197</v>
      </c>
      <c r="E48" s="112"/>
      <c r="F48" s="112"/>
      <c r="G48" s="112"/>
      <c r="H48" s="112"/>
      <c r="I48" s="112"/>
      <c r="J48" s="112"/>
      <c r="K48" s="112"/>
      <c r="L48" s="112"/>
      <c r="M48" s="112"/>
      <c r="N48" s="125">
        <v>7000.0</v>
      </c>
      <c r="O48" s="112"/>
      <c r="P48" s="112"/>
      <c r="Q48" s="112"/>
      <c r="R48" s="112"/>
    </row>
    <row r="49">
      <c r="A49" s="35">
        <v>43.0</v>
      </c>
      <c r="B49" s="126" t="s">
        <v>111</v>
      </c>
      <c r="C49" s="125" t="s">
        <v>195</v>
      </c>
      <c r="D49" s="127" t="s">
        <v>112</v>
      </c>
      <c r="E49" s="53"/>
      <c r="F49" s="112"/>
      <c r="G49" s="112"/>
      <c r="H49" s="53">
        <v>216550.0</v>
      </c>
      <c r="I49" s="112"/>
      <c r="J49" s="112"/>
      <c r="K49" s="112"/>
      <c r="L49" s="112"/>
      <c r="M49" s="112"/>
      <c r="N49" s="112"/>
      <c r="O49" s="112"/>
      <c r="P49" s="112"/>
      <c r="Q49" s="112"/>
      <c r="R49" s="112"/>
    </row>
    <row r="50">
      <c r="A50" s="35">
        <v>44.0</v>
      </c>
      <c r="B50" s="126" t="s">
        <v>114</v>
      </c>
      <c r="C50" s="125" t="s">
        <v>195</v>
      </c>
      <c r="D50" s="127" t="s">
        <v>115</v>
      </c>
      <c r="E50" s="47"/>
      <c r="F50" s="33"/>
      <c r="G50" s="33"/>
      <c r="H50" s="53">
        <v>135177.0</v>
      </c>
      <c r="I50" s="112"/>
      <c r="J50" s="112"/>
      <c r="K50" s="112"/>
      <c r="L50" s="112"/>
      <c r="M50" s="112"/>
      <c r="N50" s="112"/>
      <c r="O50" s="112"/>
      <c r="P50" s="112"/>
      <c r="Q50" s="112"/>
      <c r="R50" s="112"/>
    </row>
    <row r="51">
      <c r="A51" s="35">
        <v>45.0</v>
      </c>
      <c r="B51" s="126" t="s">
        <v>53</v>
      </c>
      <c r="C51" s="125" t="s">
        <v>195</v>
      </c>
      <c r="D51" s="127" t="s">
        <v>119</v>
      </c>
      <c r="E51" s="47"/>
      <c r="F51" s="33"/>
      <c r="G51" s="33"/>
      <c r="H51" s="53">
        <v>37925.0</v>
      </c>
      <c r="I51" s="112"/>
      <c r="J51" s="112"/>
      <c r="K51" s="112"/>
      <c r="L51" s="112"/>
      <c r="M51" s="112"/>
      <c r="N51" s="112"/>
      <c r="O51" s="112"/>
      <c r="P51" s="112"/>
      <c r="Q51" s="112"/>
      <c r="R51" s="112"/>
    </row>
    <row r="52">
      <c r="A52" s="35">
        <v>46.0</v>
      </c>
      <c r="B52" s="93"/>
      <c r="C52" s="112"/>
      <c r="D52" s="128"/>
      <c r="E52" s="112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</row>
    <row r="53">
      <c r="A53" s="35">
        <v>47.0</v>
      </c>
      <c r="B53" s="93"/>
      <c r="C53" s="112"/>
      <c r="D53" s="128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</row>
    <row r="54">
      <c r="A54" s="35">
        <v>48.0</v>
      </c>
      <c r="B54" s="93"/>
      <c r="C54" s="112"/>
      <c r="D54" s="128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</row>
    <row r="55">
      <c r="A55" s="35">
        <v>49.0</v>
      </c>
      <c r="B55" s="93"/>
      <c r="C55" s="112"/>
      <c r="D55" s="128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</row>
    <row r="56">
      <c r="A56" s="35">
        <v>50.0</v>
      </c>
      <c r="B56" s="93"/>
      <c r="C56" s="112"/>
      <c r="D56" s="128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</row>
    <row r="57">
      <c r="A57" s="35">
        <v>51.0</v>
      </c>
      <c r="B57" s="93"/>
      <c r="C57" s="112"/>
      <c r="D57" s="128"/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2"/>
    </row>
    <row r="58">
      <c r="A58" s="35">
        <v>52.0</v>
      </c>
      <c r="B58" s="93"/>
      <c r="C58" s="112"/>
      <c r="D58" s="128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</row>
    <row r="59">
      <c r="A59" s="35">
        <v>53.0</v>
      </c>
      <c r="B59" s="93"/>
      <c r="C59" s="112"/>
      <c r="D59" s="128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</row>
    <row r="60">
      <c r="A60" s="35">
        <v>54.0</v>
      </c>
      <c r="B60" s="93"/>
      <c r="C60" s="112"/>
      <c r="D60" s="128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</row>
    <row r="61">
      <c r="A61" s="35">
        <v>55.0</v>
      </c>
      <c r="B61" s="93"/>
      <c r="C61" s="112"/>
      <c r="D61" s="133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2"/>
      <c r="R61" s="112"/>
    </row>
    <row r="62">
      <c r="A62" s="35">
        <v>56.0</v>
      </c>
      <c r="B62" s="93"/>
      <c r="C62" s="112"/>
      <c r="D62" s="133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/>
    </row>
    <row r="63">
      <c r="A63" s="35">
        <v>57.0</v>
      </c>
      <c r="B63" s="93"/>
      <c r="C63" s="112"/>
      <c r="D63" s="133"/>
      <c r="E63" s="112"/>
      <c r="F63" s="112"/>
      <c r="G63" s="112"/>
      <c r="H63" s="112"/>
      <c r="I63" s="112"/>
      <c r="J63" s="112"/>
      <c r="K63" s="112"/>
      <c r="L63" s="112"/>
      <c r="M63" s="112"/>
      <c r="N63" s="112"/>
      <c r="O63" s="112"/>
      <c r="P63" s="112"/>
      <c r="Q63" s="112"/>
      <c r="R63" s="112"/>
    </row>
    <row r="64">
      <c r="A64" s="35">
        <v>58.0</v>
      </c>
      <c r="B64" s="112"/>
      <c r="C64" s="139"/>
      <c r="D64" s="140"/>
      <c r="E64" s="112"/>
      <c r="F64" s="112"/>
      <c r="G64" s="112"/>
      <c r="H64" s="112"/>
      <c r="I64" s="112"/>
      <c r="J64" s="112"/>
      <c r="K64" s="112"/>
      <c r="L64" s="112"/>
      <c r="M64" s="112"/>
      <c r="N64" s="112"/>
      <c r="O64" s="112"/>
      <c r="P64" s="112"/>
      <c r="Q64" s="112"/>
      <c r="R64" s="112"/>
    </row>
    <row r="65">
      <c r="A65" s="142"/>
      <c r="B65" s="142"/>
      <c r="C65" s="142"/>
      <c r="D65" s="143" t="s">
        <v>209</v>
      </c>
      <c r="E65" s="144">
        <f t="shared" ref="E65:Q65" si="1">SUM(E4:E64)</f>
        <v>21430</v>
      </c>
      <c r="F65" s="144">
        <f t="shared" si="1"/>
        <v>220000</v>
      </c>
      <c r="G65" s="144">
        <f t="shared" si="1"/>
        <v>254500</v>
      </c>
      <c r="H65" s="144">
        <f t="shared" si="1"/>
        <v>909652</v>
      </c>
      <c r="I65" s="144">
        <f t="shared" si="1"/>
        <v>188000</v>
      </c>
      <c r="J65" s="144">
        <f t="shared" si="1"/>
        <v>6150</v>
      </c>
      <c r="K65" s="144">
        <f t="shared" si="1"/>
        <v>57000</v>
      </c>
      <c r="L65" s="144">
        <f t="shared" si="1"/>
        <v>281000</v>
      </c>
      <c r="M65" s="144">
        <f t="shared" si="1"/>
        <v>18000</v>
      </c>
      <c r="N65" s="144">
        <f t="shared" si="1"/>
        <v>23990</v>
      </c>
      <c r="O65" s="144">
        <f t="shared" si="1"/>
        <v>0</v>
      </c>
      <c r="P65" s="144">
        <f t="shared" si="1"/>
        <v>20580</v>
      </c>
      <c r="Q65" s="144">
        <f t="shared" si="1"/>
        <v>0</v>
      </c>
      <c r="R65" s="145"/>
    </row>
    <row r="66">
      <c r="A66" s="146"/>
      <c r="B66" s="146"/>
      <c r="C66" s="146"/>
      <c r="D66" s="147" t="s">
        <v>210</v>
      </c>
      <c r="E66" s="148"/>
      <c r="F66" s="148"/>
      <c r="G66" s="148"/>
      <c r="H66" s="148"/>
      <c r="I66" s="148"/>
      <c r="J66" s="148"/>
      <c r="K66" s="148"/>
      <c r="L66" s="148"/>
      <c r="M66" s="148"/>
      <c r="N66" s="148"/>
      <c r="O66" s="148"/>
      <c r="P66" s="148"/>
      <c r="Q66" s="148"/>
      <c r="R66" s="145"/>
    </row>
    <row r="67">
      <c r="A67" s="146"/>
      <c r="B67" s="146"/>
      <c r="C67" s="146"/>
      <c r="D67" s="143" t="s">
        <v>211</v>
      </c>
      <c r="E67" s="144">
        <f t="shared" ref="E67:Q67" si="2">E66-E65</f>
        <v>-21430</v>
      </c>
      <c r="F67" s="144">
        <f t="shared" si="2"/>
        <v>-220000</v>
      </c>
      <c r="G67" s="144">
        <f t="shared" si="2"/>
        <v>-254500</v>
      </c>
      <c r="H67" s="144">
        <f t="shared" si="2"/>
        <v>-909652</v>
      </c>
      <c r="I67" s="144">
        <f t="shared" si="2"/>
        <v>-188000</v>
      </c>
      <c r="J67" s="144">
        <f t="shared" si="2"/>
        <v>-6150</v>
      </c>
      <c r="K67" s="144">
        <f t="shared" si="2"/>
        <v>-57000</v>
      </c>
      <c r="L67" s="144">
        <f t="shared" si="2"/>
        <v>-281000</v>
      </c>
      <c r="M67" s="144">
        <f t="shared" si="2"/>
        <v>-18000</v>
      </c>
      <c r="N67" s="144">
        <f t="shared" si="2"/>
        <v>-23990</v>
      </c>
      <c r="O67" s="144">
        <f t="shared" si="2"/>
        <v>0</v>
      </c>
      <c r="P67" s="144">
        <f t="shared" si="2"/>
        <v>-20580</v>
      </c>
      <c r="Q67" s="144">
        <f t="shared" si="2"/>
        <v>0</v>
      </c>
      <c r="R67" s="145"/>
    </row>
    <row r="68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</row>
    <row r="69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</row>
    <row r="70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</row>
    <row r="71">
      <c r="A71" s="44"/>
      <c r="B71" s="44"/>
      <c r="C71" s="44"/>
      <c r="D71" s="149" t="s">
        <v>212</v>
      </c>
      <c r="E71" s="150">
        <v>281898.0</v>
      </c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</row>
    <row r="72">
      <c r="A72" s="44"/>
      <c r="B72" s="44"/>
      <c r="C72" s="44"/>
      <c r="D72" s="151" t="s">
        <v>213</v>
      </c>
      <c r="E72" s="152">
        <f>E65+F65+G65+H65+I65+J65+K65+L65+M65+N65+O65+P65+Q65+E71</f>
        <v>2282200</v>
      </c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</row>
    <row r="73">
      <c r="A73" s="44"/>
      <c r="B73" s="44"/>
      <c r="C73" s="44"/>
      <c r="D73" s="153" t="s">
        <v>214</v>
      </c>
      <c r="E73" s="33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</row>
    <row r="74">
      <c r="A74" s="44"/>
      <c r="B74" s="44"/>
      <c r="C74" s="44"/>
      <c r="D74" s="154" t="s">
        <v>215</v>
      </c>
      <c r="E74" s="148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</row>
    <row r="75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</row>
    <row r="76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</row>
    <row r="77">
      <c r="A77" s="44"/>
      <c r="B77" s="44"/>
      <c r="C77" s="142"/>
      <c r="D77" s="157" t="s">
        <v>217</v>
      </c>
      <c r="E77" s="159">
        <v>7000000.0</v>
      </c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</row>
    <row r="78">
      <c r="A78" s="44"/>
      <c r="B78" s="44"/>
      <c r="C78" s="162" t="s">
        <v>218</v>
      </c>
      <c r="D78" s="164" t="s">
        <v>220</v>
      </c>
      <c r="E78" s="166">
        <v>-1000000.0</v>
      </c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</row>
    <row r="79">
      <c r="A79" s="44"/>
      <c r="B79" s="44"/>
      <c r="C79" s="162" t="s">
        <v>35</v>
      </c>
      <c r="D79" s="164" t="s">
        <v>222</v>
      </c>
      <c r="E79" s="166">
        <v>-2000000.0</v>
      </c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</row>
    <row r="80">
      <c r="A80" s="44"/>
      <c r="B80" s="44"/>
      <c r="C80" s="162" t="s">
        <v>145</v>
      </c>
      <c r="D80" s="164" t="s">
        <v>224</v>
      </c>
      <c r="E80" s="166">
        <v>-1000000.0</v>
      </c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</row>
    <row r="81">
      <c r="A81" s="44"/>
      <c r="B81" s="44"/>
      <c r="C81" s="33"/>
      <c r="D81" s="33"/>
      <c r="E81" s="33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</row>
    <row r="82">
      <c r="A82" s="44"/>
      <c r="B82" s="44"/>
      <c r="C82" s="33"/>
      <c r="D82" s="33"/>
      <c r="E82" s="33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</row>
    <row r="83">
      <c r="A83" s="44"/>
      <c r="B83" s="44"/>
      <c r="C83" s="33"/>
      <c r="D83" s="33"/>
      <c r="E83" s="33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</row>
    <row r="84">
      <c r="A84" s="44"/>
      <c r="B84" s="44"/>
      <c r="C84" s="33"/>
      <c r="D84" s="33"/>
      <c r="E84" s="33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</row>
    <row r="85">
      <c r="A85" s="44"/>
      <c r="B85" s="44"/>
      <c r="C85" s="178"/>
      <c r="D85" s="179" t="s">
        <v>230</v>
      </c>
      <c r="E85" s="181">
        <f>SUM(E77:E84)</f>
        <v>3000000</v>
      </c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</row>
  </sheetData>
  <mergeCells count="1">
    <mergeCell ref="A1:R1"/>
  </mergeCells>
  <hyperlinks>
    <hyperlink r:id="rId1" ref="A2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38.38"/>
    <col customWidth="1" min="3" max="3" width="16.25"/>
    <col customWidth="1" min="4" max="4" width="15.25"/>
  </cols>
  <sheetData>
    <row r="1">
      <c r="A1" s="2" t="s">
        <v>1</v>
      </c>
      <c r="B1" s="6"/>
      <c r="C1" s="6"/>
      <c r="D1" s="8"/>
    </row>
    <row r="2">
      <c r="A2" s="10" t="s">
        <v>3</v>
      </c>
      <c r="B2" s="11" t="s">
        <v>11</v>
      </c>
      <c r="C2" s="11" t="s">
        <v>12</v>
      </c>
      <c r="D2" s="11" t="s">
        <v>13</v>
      </c>
    </row>
    <row r="3">
      <c r="A3" s="12">
        <v>1.0</v>
      </c>
      <c r="B3" s="14" t="s">
        <v>0</v>
      </c>
      <c r="C3" s="13">
        <v>414000.0</v>
      </c>
      <c r="D3" s="16"/>
    </row>
    <row r="4">
      <c r="A4" s="12">
        <v>2.0</v>
      </c>
      <c r="B4" s="18" t="s">
        <v>15</v>
      </c>
      <c r="C4" s="13">
        <v>273780.0</v>
      </c>
      <c r="D4" s="16"/>
    </row>
    <row r="5">
      <c r="A5" s="12">
        <v>3.0</v>
      </c>
      <c r="B5" s="14" t="s">
        <v>19</v>
      </c>
      <c r="C5" s="13">
        <v>244920.0</v>
      </c>
      <c r="D5" s="16"/>
    </row>
    <row r="6">
      <c r="A6" s="12">
        <v>4.0</v>
      </c>
      <c r="B6" s="13" t="s">
        <v>24</v>
      </c>
      <c r="C6" s="13">
        <v>856397.0</v>
      </c>
      <c r="D6" s="16"/>
    </row>
    <row r="7">
      <c r="A7" s="12">
        <v>5.0</v>
      </c>
      <c r="B7" s="14" t="s">
        <v>29</v>
      </c>
      <c r="C7" s="13">
        <v>24160.0</v>
      </c>
      <c r="D7" s="16"/>
    </row>
    <row r="8">
      <c r="A8" s="12">
        <v>6.0</v>
      </c>
      <c r="B8" s="14" t="s">
        <v>32</v>
      </c>
      <c r="C8" s="13">
        <v>7530.0</v>
      </c>
      <c r="D8" s="27" t="s">
        <v>36</v>
      </c>
    </row>
    <row r="9">
      <c r="A9" s="12">
        <v>7.0</v>
      </c>
      <c r="B9" s="14" t="s">
        <v>38</v>
      </c>
      <c r="C9" s="13">
        <v>59980.0</v>
      </c>
      <c r="D9" s="16"/>
    </row>
    <row r="10">
      <c r="A10" s="12">
        <v>8.0</v>
      </c>
      <c r="B10" s="14" t="s">
        <v>40</v>
      </c>
      <c r="C10" s="13">
        <v>22800.0</v>
      </c>
      <c r="D10" s="27" t="s">
        <v>41</v>
      </c>
    </row>
    <row r="11">
      <c r="A11" s="12">
        <v>9.0</v>
      </c>
      <c r="B11" s="18" t="s">
        <v>44</v>
      </c>
      <c r="C11" s="13">
        <v>30000.0</v>
      </c>
      <c r="D11" s="32">
        <v>50000.0</v>
      </c>
    </row>
    <row r="12">
      <c r="A12" s="12">
        <v>10.0</v>
      </c>
      <c r="B12" s="14" t="s">
        <v>45</v>
      </c>
      <c r="C12" s="13">
        <v>43790.0</v>
      </c>
      <c r="D12" s="27" t="s">
        <v>47</v>
      </c>
    </row>
    <row r="13">
      <c r="A13" s="12">
        <v>11.0</v>
      </c>
      <c r="B13" s="14" t="s">
        <v>48</v>
      </c>
      <c r="C13" s="13">
        <v>16300.0</v>
      </c>
      <c r="D13" s="16"/>
    </row>
    <row r="14">
      <c r="A14" s="12">
        <v>12.0</v>
      </c>
      <c r="B14" s="14" t="s">
        <v>50</v>
      </c>
      <c r="C14" s="13">
        <v>341000.0</v>
      </c>
      <c r="D14" s="27" t="s">
        <v>51</v>
      </c>
    </row>
    <row r="15">
      <c r="A15" s="12">
        <v>13.0</v>
      </c>
      <c r="B15" s="14" t="s">
        <v>52</v>
      </c>
      <c r="C15" s="13">
        <v>13600.0</v>
      </c>
      <c r="D15" s="32">
        <v>90215.0</v>
      </c>
    </row>
    <row r="16">
      <c r="A16" s="12">
        <v>14.0</v>
      </c>
      <c r="B16" s="13" t="s">
        <v>55</v>
      </c>
      <c r="C16" s="34"/>
      <c r="D16" s="16"/>
    </row>
    <row r="17">
      <c r="A17" s="12">
        <v>15.0</v>
      </c>
      <c r="B17" s="13" t="s">
        <v>56</v>
      </c>
      <c r="C17" s="34"/>
      <c r="D17" s="16"/>
    </row>
    <row r="18">
      <c r="A18" s="12">
        <v>16.0</v>
      </c>
      <c r="B18" s="13" t="s">
        <v>59</v>
      </c>
      <c r="C18" s="34"/>
      <c r="D18" s="16"/>
    </row>
    <row r="19">
      <c r="A19" s="12">
        <v>17.0</v>
      </c>
      <c r="B19" s="13" t="s">
        <v>61</v>
      </c>
      <c r="C19" s="34"/>
      <c r="D19" s="16"/>
    </row>
    <row r="20">
      <c r="A20" s="12">
        <v>18.0</v>
      </c>
      <c r="B20" s="13" t="s">
        <v>62</v>
      </c>
      <c r="C20" s="34"/>
      <c r="D20" s="16"/>
    </row>
    <row r="21">
      <c r="A21" s="40"/>
      <c r="B21" s="40"/>
      <c r="C21" s="42">
        <f>SUM(C3:C20)</f>
        <v>2348257</v>
      </c>
      <c r="D21" s="40"/>
    </row>
    <row r="22">
      <c r="A22" s="34"/>
      <c r="B22" s="34"/>
      <c r="C22" s="34"/>
      <c r="D22" s="34"/>
    </row>
    <row r="23">
      <c r="A23" s="34"/>
      <c r="B23" s="34"/>
      <c r="C23" s="34"/>
      <c r="D23" s="34"/>
    </row>
    <row r="24">
      <c r="A24" s="43"/>
      <c r="B24" s="43"/>
      <c r="C24" s="43"/>
      <c r="D24" s="43"/>
    </row>
    <row r="26">
      <c r="A26" s="44"/>
      <c r="B26" s="44"/>
      <c r="C26" s="44"/>
      <c r="D26" s="44"/>
    </row>
    <row r="27">
      <c r="A27" s="44"/>
      <c r="B27" s="46" t="s">
        <v>68</v>
      </c>
      <c r="C27" s="47"/>
      <c r="D27" s="44"/>
    </row>
    <row r="28">
      <c r="A28" s="44"/>
      <c r="B28" s="47"/>
      <c r="C28" s="47"/>
      <c r="D28" s="44"/>
    </row>
    <row r="29">
      <c r="A29" s="44"/>
      <c r="B29" s="48" t="s">
        <v>69</v>
      </c>
      <c r="C29" s="49">
        <v>160000.0</v>
      </c>
      <c r="D29" s="44"/>
    </row>
    <row r="30">
      <c r="A30" s="44"/>
      <c r="B30" s="48" t="s">
        <v>70</v>
      </c>
      <c r="C30" s="50">
        <v>73198.0</v>
      </c>
      <c r="D30" s="44"/>
    </row>
    <row r="31">
      <c r="A31" s="44"/>
      <c r="B31" s="51" t="s">
        <v>73</v>
      </c>
      <c r="C31" s="52">
        <v>135552.0</v>
      </c>
      <c r="D31" s="44"/>
    </row>
    <row r="32">
      <c r="A32" s="44"/>
      <c r="B32" s="47"/>
      <c r="C32" s="47"/>
      <c r="D32" s="44"/>
    </row>
    <row r="33">
      <c r="A33" s="44"/>
      <c r="B33" s="47"/>
      <c r="C33" s="53">
        <f>SUM(C29:C32)</f>
        <v>368750</v>
      </c>
      <c r="D33" s="44"/>
    </row>
    <row r="34">
      <c r="A34" s="44"/>
      <c r="B34" s="54" t="s">
        <v>75</v>
      </c>
      <c r="C34" s="44"/>
      <c r="D34" s="44"/>
    </row>
  </sheetData>
  <mergeCells count="1">
    <mergeCell ref="A1:D1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34.88"/>
    <col customWidth="1" min="3" max="3" width="18.88"/>
    <col customWidth="1" min="4" max="4" width="17.38"/>
  </cols>
  <sheetData>
    <row r="1">
      <c r="A1" s="2" t="s">
        <v>1</v>
      </c>
      <c r="B1" s="6"/>
      <c r="C1" s="6"/>
      <c r="D1" s="8"/>
    </row>
    <row r="2">
      <c r="A2" s="10" t="s">
        <v>3</v>
      </c>
      <c r="B2" s="11" t="s">
        <v>11</v>
      </c>
      <c r="C2" s="11" t="s">
        <v>12</v>
      </c>
      <c r="D2" s="11" t="s">
        <v>13</v>
      </c>
    </row>
    <row r="3">
      <c r="A3" s="13">
        <v>1.0</v>
      </c>
      <c r="B3" s="14" t="s">
        <v>0</v>
      </c>
      <c r="C3" s="13">
        <v>414000.0</v>
      </c>
      <c r="D3" s="16"/>
    </row>
    <row r="4">
      <c r="A4" s="13">
        <v>2.0</v>
      </c>
      <c r="B4" s="18" t="s">
        <v>15</v>
      </c>
      <c r="C4" s="13">
        <v>273780.0</v>
      </c>
      <c r="D4" s="16"/>
    </row>
    <row r="5">
      <c r="A5" s="13">
        <v>3.0</v>
      </c>
      <c r="B5" s="14" t="s">
        <v>19</v>
      </c>
      <c r="C5" s="13">
        <v>255000.0</v>
      </c>
      <c r="D5" s="16"/>
    </row>
    <row r="6">
      <c r="A6" s="13">
        <v>4.0</v>
      </c>
      <c r="B6" s="13" t="s">
        <v>24</v>
      </c>
      <c r="C6" s="13">
        <v>856397.0</v>
      </c>
      <c r="D6" s="16"/>
    </row>
    <row r="7">
      <c r="A7" s="13">
        <v>5.0</v>
      </c>
      <c r="B7" s="14" t="s">
        <v>29</v>
      </c>
      <c r="C7" s="13">
        <v>24160.0</v>
      </c>
      <c r="D7" s="16"/>
    </row>
    <row r="8">
      <c r="A8" s="13">
        <v>6.0</v>
      </c>
      <c r="B8" s="14" t="s">
        <v>32</v>
      </c>
      <c r="C8" s="13">
        <v>7530.0</v>
      </c>
      <c r="D8" s="27" t="s">
        <v>36</v>
      </c>
    </row>
    <row r="9">
      <c r="A9" s="13">
        <v>7.0</v>
      </c>
      <c r="B9" s="14" t="s">
        <v>38</v>
      </c>
      <c r="C9" s="13">
        <v>59980.0</v>
      </c>
      <c r="D9" s="16"/>
    </row>
    <row r="10">
      <c r="A10" s="13">
        <v>8.0</v>
      </c>
      <c r="B10" s="14" t="s">
        <v>40</v>
      </c>
      <c r="C10" s="13">
        <v>22800.0</v>
      </c>
      <c r="D10" s="27" t="s">
        <v>41</v>
      </c>
    </row>
    <row r="11">
      <c r="A11" s="13">
        <v>9.0</v>
      </c>
      <c r="B11" s="18" t="s">
        <v>44</v>
      </c>
      <c r="C11" s="13">
        <v>30000.0</v>
      </c>
      <c r="D11" s="32">
        <v>50000.0</v>
      </c>
    </row>
    <row r="12">
      <c r="A12" s="13">
        <v>10.0</v>
      </c>
      <c r="B12" s="14" t="s">
        <v>45</v>
      </c>
      <c r="C12" s="13">
        <v>40790.0</v>
      </c>
      <c r="D12" s="27" t="s">
        <v>47</v>
      </c>
    </row>
    <row r="13">
      <c r="A13" s="13">
        <v>11.0</v>
      </c>
      <c r="B13" s="14" t="s">
        <v>48</v>
      </c>
      <c r="C13" s="13">
        <v>16300.0</v>
      </c>
      <c r="D13" s="16"/>
    </row>
    <row r="14">
      <c r="A14" s="13">
        <v>12.0</v>
      </c>
      <c r="B14" s="14" t="s">
        <v>50</v>
      </c>
      <c r="C14" s="13">
        <v>341000.0</v>
      </c>
      <c r="D14" s="27" t="s">
        <v>51</v>
      </c>
    </row>
    <row r="15">
      <c r="A15" s="13">
        <v>13.0</v>
      </c>
      <c r="B15" s="14" t="s">
        <v>52</v>
      </c>
      <c r="C15" s="13">
        <v>13600.0</v>
      </c>
      <c r="D15" s="32">
        <v>90215.0</v>
      </c>
    </row>
    <row r="16">
      <c r="A16" s="13">
        <v>14.0</v>
      </c>
      <c r="B16" s="13" t="s">
        <v>55</v>
      </c>
      <c r="C16" s="34"/>
      <c r="D16" s="16"/>
    </row>
    <row r="17">
      <c r="A17" s="13">
        <v>15.0</v>
      </c>
      <c r="B17" s="13" t="s">
        <v>56</v>
      </c>
      <c r="C17" s="34"/>
      <c r="D17" s="16"/>
    </row>
    <row r="18">
      <c r="A18" s="13">
        <v>16.0</v>
      </c>
      <c r="B18" s="13" t="s">
        <v>59</v>
      </c>
      <c r="C18" s="34"/>
      <c r="D18" s="16"/>
    </row>
    <row r="19">
      <c r="A19" s="13">
        <v>17.0</v>
      </c>
      <c r="B19" s="13" t="s">
        <v>61</v>
      </c>
      <c r="C19" s="34"/>
      <c r="D19" s="16"/>
    </row>
    <row r="20">
      <c r="A20" s="13">
        <v>18.0</v>
      </c>
      <c r="B20" s="13" t="s">
        <v>62</v>
      </c>
      <c r="C20" s="34"/>
      <c r="D20" s="16"/>
    </row>
    <row r="21">
      <c r="A21" s="40"/>
      <c r="B21" s="40"/>
      <c r="C21" s="42">
        <f>SUM(C3:C20)</f>
        <v>2355337</v>
      </c>
      <c r="D21" s="40"/>
    </row>
    <row r="22">
      <c r="A22" s="34"/>
      <c r="B22" s="34"/>
      <c r="C22" s="34"/>
      <c r="D22" s="34"/>
    </row>
    <row r="23">
      <c r="A23" s="34"/>
      <c r="B23" s="34"/>
      <c r="C23" s="34"/>
      <c r="D23" s="34"/>
    </row>
    <row r="24">
      <c r="A24" s="43"/>
      <c r="B24" s="43"/>
      <c r="C24" s="43"/>
      <c r="D24" s="43"/>
    </row>
    <row r="26">
      <c r="A26" s="44"/>
      <c r="B26" s="44"/>
      <c r="C26" s="44"/>
      <c r="D26" s="44"/>
    </row>
    <row r="27">
      <c r="A27" s="44"/>
      <c r="B27" s="46" t="s">
        <v>68</v>
      </c>
      <c r="C27" s="47"/>
      <c r="D27" s="44"/>
    </row>
    <row r="28">
      <c r="A28" s="44"/>
      <c r="B28" s="47"/>
      <c r="C28" s="47"/>
      <c r="D28" s="44"/>
    </row>
    <row r="29">
      <c r="A29" s="44"/>
      <c r="B29" s="48" t="s">
        <v>69</v>
      </c>
      <c r="C29" s="49">
        <v>160000.0</v>
      </c>
      <c r="D29" s="44"/>
    </row>
    <row r="30">
      <c r="A30" s="44"/>
      <c r="B30" s="48" t="s">
        <v>70</v>
      </c>
      <c r="C30" s="50">
        <v>73198.0</v>
      </c>
      <c r="D30" s="44"/>
    </row>
    <row r="31">
      <c r="A31" s="44"/>
      <c r="B31" s="51" t="s">
        <v>73</v>
      </c>
      <c r="C31" s="51">
        <v>135552.0</v>
      </c>
      <c r="D31" s="44"/>
    </row>
    <row r="32">
      <c r="A32" s="44"/>
      <c r="B32" s="51" t="s">
        <v>74</v>
      </c>
      <c r="C32" s="51">
        <v>2160.0</v>
      </c>
      <c r="D32" s="44"/>
    </row>
    <row r="33">
      <c r="A33" s="44"/>
      <c r="B33" s="47"/>
      <c r="C33" s="53">
        <f>SUM(C29:C32)</f>
        <v>370910</v>
      </c>
      <c r="D33" s="44"/>
    </row>
    <row r="34">
      <c r="A34" s="44"/>
      <c r="B34" s="54" t="s">
        <v>76</v>
      </c>
      <c r="C34" s="44"/>
      <c r="D34" s="44"/>
    </row>
  </sheetData>
  <mergeCells count="1">
    <mergeCell ref="A1:D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4.0"/>
    <col customWidth="1" min="3" max="3" width="53.38"/>
    <col customWidth="1" min="4" max="4" width="13.0"/>
    <col customWidth="1" min="5" max="5" width="17.63"/>
    <col customWidth="1" min="6" max="6" width="14.88"/>
    <col customWidth="1" min="7" max="7" width="17.63"/>
    <col customWidth="1" min="8" max="8" width="12.13"/>
    <col customWidth="1" min="9" max="9" width="15.75"/>
    <col customWidth="1" min="10" max="10" width="17.5"/>
  </cols>
  <sheetData>
    <row r="2">
      <c r="D2" s="1" t="s">
        <v>0</v>
      </c>
      <c r="E2" s="3"/>
    </row>
    <row r="3">
      <c r="A3" s="5" t="s">
        <v>3</v>
      </c>
      <c r="B3" s="5" t="s">
        <v>4</v>
      </c>
      <c r="C3" s="5" t="s">
        <v>5</v>
      </c>
      <c r="D3" s="7" t="s">
        <v>6</v>
      </c>
      <c r="E3" s="9" t="s">
        <v>7</v>
      </c>
      <c r="F3" s="5" t="s">
        <v>8</v>
      </c>
      <c r="G3" s="5" t="s">
        <v>10</v>
      </c>
      <c r="H3" s="5"/>
      <c r="I3" s="5"/>
      <c r="J3" s="19"/>
    </row>
    <row r="4">
      <c r="A4" s="20">
        <v>1.0</v>
      </c>
      <c r="B4" s="20" t="s">
        <v>20</v>
      </c>
      <c r="C4" s="20" t="s">
        <v>21</v>
      </c>
      <c r="D4" s="22">
        <v>4000.0</v>
      </c>
      <c r="E4" s="23">
        <v>12.0</v>
      </c>
      <c r="F4" s="20">
        <v>48000.0</v>
      </c>
      <c r="G4" s="20"/>
      <c r="H4" s="24"/>
      <c r="I4" s="24"/>
      <c r="J4" s="19"/>
    </row>
    <row r="5">
      <c r="A5" s="20">
        <v>2.0</v>
      </c>
      <c r="B5" s="26" t="s">
        <v>35</v>
      </c>
      <c r="C5" s="29" t="s">
        <v>21</v>
      </c>
      <c r="D5" s="22">
        <v>16000.0</v>
      </c>
      <c r="E5" s="23">
        <v>12.0</v>
      </c>
      <c r="F5" s="20">
        <v>192000.0</v>
      </c>
      <c r="G5" s="20"/>
      <c r="H5" s="24"/>
      <c r="I5" s="24"/>
      <c r="J5" s="19"/>
    </row>
    <row r="6">
      <c r="A6" s="20">
        <v>3.0</v>
      </c>
      <c r="B6" s="26" t="s">
        <v>42</v>
      </c>
      <c r="C6" s="29" t="s">
        <v>43</v>
      </c>
      <c r="D6" s="22">
        <v>10000.0</v>
      </c>
      <c r="E6" s="23">
        <v>12.0</v>
      </c>
      <c r="F6" s="20">
        <v>120000.0</v>
      </c>
      <c r="G6" s="20"/>
      <c r="H6" s="24"/>
      <c r="I6" s="24"/>
      <c r="J6" s="19"/>
    </row>
    <row r="7">
      <c r="A7" s="20">
        <v>6.0</v>
      </c>
      <c r="B7" s="20" t="s">
        <v>46</v>
      </c>
      <c r="C7" s="29" t="s">
        <v>49</v>
      </c>
      <c r="D7" s="24"/>
      <c r="E7" s="24"/>
      <c r="F7" s="20">
        <v>12600.0</v>
      </c>
      <c r="G7" s="24"/>
      <c r="H7" s="24"/>
      <c r="I7" s="24"/>
      <c r="J7" s="19"/>
    </row>
    <row r="8">
      <c r="A8" s="20">
        <v>7.0</v>
      </c>
      <c r="B8" s="20" t="s">
        <v>53</v>
      </c>
      <c r="C8" s="29" t="s">
        <v>54</v>
      </c>
      <c r="D8" s="20">
        <v>3000.0</v>
      </c>
      <c r="E8" s="24"/>
      <c r="F8" s="20">
        <v>41400.0</v>
      </c>
      <c r="G8" s="24"/>
      <c r="H8" s="24"/>
      <c r="I8" s="24"/>
      <c r="J8" s="19"/>
    </row>
    <row r="9">
      <c r="A9" s="20">
        <v>8.0</v>
      </c>
      <c r="B9" s="24"/>
      <c r="C9" s="37"/>
      <c r="D9" s="24"/>
      <c r="E9" s="24"/>
      <c r="F9" s="24"/>
      <c r="G9" s="24"/>
      <c r="H9" s="24"/>
      <c r="I9" s="24"/>
      <c r="J9" s="19"/>
    </row>
    <row r="10">
      <c r="A10" s="20">
        <v>9.0</v>
      </c>
      <c r="B10" s="24"/>
      <c r="C10" s="37"/>
      <c r="D10" s="24"/>
      <c r="E10" s="24"/>
      <c r="F10" s="20"/>
      <c r="G10" s="24"/>
      <c r="H10" s="24"/>
      <c r="I10" s="24"/>
      <c r="J10" s="19"/>
    </row>
    <row r="11">
      <c r="A11" s="20">
        <v>10.0</v>
      </c>
      <c r="B11" s="24"/>
      <c r="C11" s="24"/>
      <c r="D11" s="24"/>
      <c r="E11" s="24"/>
      <c r="F11" s="24"/>
      <c r="G11" s="24"/>
      <c r="H11" s="24"/>
      <c r="I11" s="24"/>
      <c r="J11" s="19"/>
    </row>
    <row r="12">
      <c r="A12" s="20">
        <v>11.0</v>
      </c>
      <c r="B12" s="24"/>
      <c r="C12" s="24"/>
      <c r="D12" s="24"/>
      <c r="E12" s="24"/>
      <c r="F12" s="24"/>
      <c r="G12" s="24"/>
      <c r="H12" s="24"/>
      <c r="I12" s="24"/>
      <c r="J12" s="19"/>
    </row>
    <row r="13">
      <c r="A13" s="24"/>
      <c r="B13" s="24"/>
      <c r="C13" s="24"/>
      <c r="D13" s="24"/>
      <c r="E13" s="24"/>
      <c r="F13" s="24"/>
      <c r="G13" s="24"/>
      <c r="H13" s="24"/>
      <c r="I13" s="24"/>
      <c r="J13" s="19"/>
    </row>
    <row r="14">
      <c r="A14" s="24"/>
      <c r="B14" s="24"/>
      <c r="C14" s="24"/>
      <c r="D14" s="24"/>
      <c r="E14" s="24"/>
      <c r="F14" s="24"/>
      <c r="G14" s="24"/>
      <c r="H14" s="24"/>
      <c r="I14" s="24"/>
      <c r="J14" s="19"/>
    </row>
    <row r="15">
      <c r="A15" s="24"/>
      <c r="B15" s="24"/>
      <c r="C15" s="24"/>
      <c r="D15" s="24"/>
      <c r="E15" s="24"/>
      <c r="F15" s="24"/>
      <c r="G15" s="24"/>
      <c r="H15" s="24"/>
      <c r="I15" s="24"/>
      <c r="J15" s="19"/>
    </row>
    <row r="16">
      <c r="A16" s="24"/>
      <c r="B16" s="24"/>
      <c r="C16" s="24"/>
      <c r="D16" s="24"/>
      <c r="E16" s="24"/>
      <c r="F16" s="24"/>
      <c r="G16" s="24"/>
      <c r="H16" s="24"/>
      <c r="I16" s="24"/>
      <c r="J16" s="19"/>
    </row>
    <row r="17">
      <c r="A17" s="24"/>
      <c r="B17" s="24"/>
      <c r="C17" s="24"/>
      <c r="D17" s="24"/>
      <c r="E17" s="24"/>
      <c r="F17" s="24"/>
      <c r="G17" s="24"/>
      <c r="H17" s="24"/>
      <c r="I17" s="24"/>
      <c r="J17" s="19"/>
    </row>
    <row r="18">
      <c r="A18" s="24"/>
      <c r="B18" s="24"/>
      <c r="C18" s="24"/>
      <c r="D18" s="24"/>
      <c r="E18" s="24"/>
      <c r="F18" s="24"/>
      <c r="G18" s="24"/>
      <c r="H18" s="24"/>
      <c r="I18" s="24"/>
      <c r="J18" s="19"/>
    </row>
    <row r="19">
      <c r="A19" s="24"/>
      <c r="B19" s="24"/>
      <c r="C19" s="24"/>
      <c r="D19" s="24"/>
      <c r="E19" s="24"/>
      <c r="F19" s="24"/>
      <c r="G19" s="24"/>
      <c r="H19" s="24"/>
      <c r="I19" s="24"/>
      <c r="J19" s="19"/>
    </row>
    <row r="20">
      <c r="A20" s="24"/>
      <c r="B20" s="24"/>
      <c r="C20" s="24"/>
      <c r="D20" s="24"/>
      <c r="E20" s="24"/>
      <c r="F20" s="24"/>
      <c r="G20" s="24"/>
      <c r="H20" s="24"/>
      <c r="I20" s="24"/>
      <c r="J20" s="19"/>
    </row>
    <row r="21">
      <c r="A21" s="24"/>
      <c r="B21" s="24"/>
      <c r="C21" s="24"/>
      <c r="D21" s="24"/>
      <c r="E21" s="24"/>
      <c r="F21" s="24"/>
      <c r="G21" s="24"/>
      <c r="H21" s="24"/>
      <c r="I21" s="24"/>
      <c r="J21" s="19"/>
    </row>
    <row r="22">
      <c r="A22" s="24"/>
      <c r="B22" s="24"/>
      <c r="C22" s="24"/>
      <c r="D22" s="24">
        <f>SUM(D4:D21)</f>
        <v>33000</v>
      </c>
      <c r="E22" s="24"/>
      <c r="F22" s="24">
        <f>SUM(F4:F21)</f>
        <v>414000</v>
      </c>
      <c r="G22" s="24"/>
      <c r="H22" s="24"/>
      <c r="I22" s="24"/>
      <c r="J22" s="19"/>
    </row>
    <row r="23">
      <c r="A23" s="19"/>
      <c r="B23" s="19"/>
      <c r="C23" s="19"/>
      <c r="D23" s="19"/>
      <c r="E23" s="19"/>
      <c r="F23" s="19"/>
      <c r="G23" s="19"/>
      <c r="H23" s="19"/>
      <c r="I23" s="19"/>
      <c r="J23" s="19"/>
    </row>
    <row r="24">
      <c r="A24" s="19"/>
      <c r="B24" s="19"/>
      <c r="C24" s="19"/>
      <c r="D24" s="19"/>
      <c r="E24" s="19"/>
      <c r="F24" s="19"/>
      <c r="G24" s="19"/>
      <c r="H24" s="19"/>
      <c r="I24" s="19"/>
      <c r="J24" s="19"/>
    </row>
    <row r="25">
      <c r="A25" s="19"/>
      <c r="B25" s="19"/>
      <c r="C25" s="19"/>
      <c r="D25" s="19"/>
      <c r="E25" s="19"/>
      <c r="F25" s="19"/>
      <c r="G25" s="19"/>
      <c r="H25" s="19"/>
      <c r="I25" s="19"/>
      <c r="J25" s="19"/>
    </row>
    <row r="26">
      <c r="A26" s="19"/>
      <c r="B26" s="19"/>
      <c r="C26" s="19"/>
      <c r="D26" s="19"/>
      <c r="E26" s="19"/>
      <c r="F26" s="19"/>
      <c r="G26" s="19"/>
      <c r="H26" s="19"/>
      <c r="I26" s="19"/>
      <c r="J26" s="19"/>
    </row>
    <row r="27">
      <c r="A27" s="19"/>
      <c r="B27" s="19"/>
      <c r="C27" s="19"/>
      <c r="D27" s="19"/>
      <c r="E27" s="19"/>
      <c r="F27" s="19"/>
      <c r="G27" s="19"/>
      <c r="H27" s="19"/>
      <c r="I27" s="19"/>
      <c r="J27" s="19"/>
    </row>
    <row r="28">
      <c r="H28" s="19"/>
    </row>
    <row r="29">
      <c r="H29" s="19"/>
    </row>
    <row r="30">
      <c r="H30" s="19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25"/>
    <col customWidth="1" min="3" max="3" width="51.13"/>
    <col customWidth="1" min="8" max="8" width="20.0"/>
  </cols>
  <sheetData>
    <row r="1">
      <c r="B1" s="55" t="s">
        <v>15</v>
      </c>
    </row>
    <row r="2">
      <c r="A2" s="57" t="s">
        <v>3</v>
      </c>
      <c r="B2" s="57" t="s">
        <v>4</v>
      </c>
      <c r="C2" s="57" t="s">
        <v>88</v>
      </c>
      <c r="D2" s="57" t="s">
        <v>6</v>
      </c>
      <c r="E2" s="57" t="s">
        <v>89</v>
      </c>
      <c r="F2" s="57" t="s">
        <v>90</v>
      </c>
      <c r="G2" s="57" t="s">
        <v>92</v>
      </c>
      <c r="H2" s="57" t="s">
        <v>93</v>
      </c>
      <c r="I2" s="59"/>
    </row>
    <row r="3">
      <c r="A3" s="59"/>
      <c r="B3" s="57" t="s">
        <v>82</v>
      </c>
      <c r="C3" s="57" t="s">
        <v>97</v>
      </c>
      <c r="D3" s="57" t="s">
        <v>98</v>
      </c>
      <c r="E3" s="57">
        <v>535.0</v>
      </c>
      <c r="F3" s="57">
        <v>108000.0</v>
      </c>
      <c r="G3" s="59"/>
      <c r="H3" s="59"/>
      <c r="I3" s="59"/>
    </row>
    <row r="4">
      <c r="A4" s="59"/>
      <c r="B4" s="57" t="s">
        <v>99</v>
      </c>
      <c r="C4" s="57" t="s">
        <v>97</v>
      </c>
      <c r="D4" s="57" t="s">
        <v>100</v>
      </c>
      <c r="E4" s="57">
        <v>535.0</v>
      </c>
      <c r="F4" s="57">
        <v>54000.0</v>
      </c>
      <c r="G4" s="59"/>
      <c r="H4" s="59"/>
      <c r="I4" s="59"/>
    </row>
    <row r="5">
      <c r="A5" s="59"/>
      <c r="B5" s="59"/>
      <c r="C5" s="57" t="s">
        <v>104</v>
      </c>
      <c r="D5" s="57" t="s">
        <v>105</v>
      </c>
      <c r="E5" s="59"/>
      <c r="F5" s="57">
        <v>3780.0</v>
      </c>
      <c r="G5" s="59"/>
      <c r="H5" s="59"/>
      <c r="I5" s="59"/>
    </row>
    <row r="6">
      <c r="A6" s="59"/>
      <c r="B6" s="59"/>
      <c r="C6" s="57" t="s">
        <v>97</v>
      </c>
      <c r="D6" s="57" t="s">
        <v>98</v>
      </c>
      <c r="E6" s="57"/>
      <c r="F6" s="57">
        <v>108000.0</v>
      </c>
      <c r="G6" s="59"/>
      <c r="H6" s="59"/>
      <c r="I6" s="59"/>
    </row>
    <row r="7">
      <c r="A7" s="59"/>
      <c r="B7" s="59"/>
      <c r="C7" s="59"/>
      <c r="D7" s="59"/>
      <c r="E7" s="59"/>
      <c r="F7" s="59"/>
      <c r="G7" s="59"/>
      <c r="H7" s="59"/>
      <c r="I7" s="59"/>
    </row>
    <row r="8">
      <c r="A8" s="59"/>
      <c r="B8" s="59"/>
      <c r="C8" s="59"/>
      <c r="D8" s="59"/>
      <c r="E8" s="59"/>
      <c r="F8" s="59"/>
      <c r="G8" s="59"/>
      <c r="H8" s="59"/>
      <c r="I8" s="59"/>
    </row>
    <row r="9">
      <c r="A9" s="59"/>
      <c r="B9" s="59"/>
      <c r="C9" s="59"/>
      <c r="D9" s="59"/>
      <c r="E9" s="59"/>
      <c r="F9" s="59"/>
      <c r="G9" s="59"/>
      <c r="H9" s="59"/>
      <c r="I9" s="59"/>
    </row>
    <row r="10">
      <c r="A10" s="59"/>
      <c r="B10" s="59"/>
      <c r="C10" s="59"/>
      <c r="D10" s="59"/>
      <c r="E10" s="59"/>
      <c r="F10" s="59"/>
      <c r="G10" s="59"/>
      <c r="H10" s="59"/>
      <c r="I10" s="59"/>
    </row>
    <row r="11">
      <c r="A11" s="59"/>
      <c r="B11" s="59"/>
      <c r="C11" s="59"/>
      <c r="D11" s="59"/>
      <c r="E11" s="59"/>
      <c r="F11" s="59"/>
      <c r="G11" s="59"/>
      <c r="H11" s="59"/>
      <c r="I11" s="59"/>
    </row>
    <row r="12">
      <c r="A12" s="59"/>
      <c r="B12" s="59"/>
      <c r="C12" s="59"/>
      <c r="D12" s="59"/>
      <c r="E12" s="59"/>
      <c r="F12" s="59"/>
      <c r="G12" s="59"/>
      <c r="H12" s="59"/>
      <c r="I12" s="59"/>
    </row>
    <row r="13">
      <c r="A13" s="59"/>
      <c r="B13" s="59"/>
      <c r="C13" s="59"/>
      <c r="D13" s="59"/>
      <c r="E13" s="59"/>
      <c r="F13" s="59"/>
      <c r="G13" s="59"/>
      <c r="H13" s="59"/>
      <c r="I13" s="59"/>
    </row>
    <row r="14">
      <c r="A14" s="59"/>
      <c r="B14" s="59"/>
      <c r="C14" s="59"/>
      <c r="D14" s="59"/>
      <c r="E14" s="59"/>
      <c r="F14" s="59"/>
      <c r="G14" s="59"/>
      <c r="H14" s="59"/>
      <c r="I14" s="59"/>
    </row>
    <row r="15">
      <c r="A15" s="60"/>
      <c r="B15" s="60"/>
      <c r="C15" s="60"/>
      <c r="D15" s="60"/>
      <c r="E15" s="60"/>
      <c r="F15" s="60"/>
      <c r="G15" s="60"/>
      <c r="H15" s="60"/>
      <c r="I15" s="60"/>
    </row>
    <row r="16">
      <c r="A16" s="60"/>
      <c r="B16" s="60"/>
      <c r="C16" s="60"/>
      <c r="D16" s="60"/>
      <c r="E16" s="60"/>
      <c r="F16" s="60"/>
      <c r="G16" s="60"/>
      <c r="H16" s="60"/>
      <c r="I16" s="60"/>
    </row>
    <row r="17">
      <c r="A17" s="60"/>
      <c r="B17" s="60"/>
      <c r="C17" s="60"/>
      <c r="D17" s="60"/>
      <c r="E17" s="60"/>
      <c r="F17" s="60"/>
      <c r="G17" s="60"/>
      <c r="H17" s="60"/>
      <c r="I17" s="60"/>
    </row>
    <row r="18">
      <c r="A18" s="60"/>
      <c r="B18" s="60"/>
      <c r="C18" s="60"/>
      <c r="D18" s="60"/>
      <c r="E18" s="60"/>
      <c r="F18" s="60"/>
      <c r="G18" s="60"/>
      <c r="H18" s="60"/>
      <c r="I18" s="60"/>
    </row>
    <row r="19">
      <c r="A19" s="60"/>
      <c r="B19" s="60"/>
      <c r="C19" s="60"/>
      <c r="D19" s="60"/>
      <c r="E19" s="60"/>
      <c r="F19" s="60"/>
      <c r="G19" s="60"/>
      <c r="H19" s="60"/>
      <c r="I19" s="60"/>
    </row>
    <row r="20">
      <c r="A20" s="60"/>
      <c r="B20" s="60"/>
      <c r="C20" s="60"/>
      <c r="D20" s="60"/>
      <c r="E20" s="60"/>
      <c r="F20" s="60"/>
      <c r="G20" s="60"/>
      <c r="H20" s="60"/>
      <c r="I20" s="60"/>
    </row>
    <row r="21">
      <c r="A21" s="60"/>
      <c r="B21" s="60"/>
      <c r="C21" s="60"/>
      <c r="D21" s="60"/>
      <c r="E21" s="60"/>
      <c r="F21" s="60"/>
      <c r="G21" s="60"/>
      <c r="H21" s="60"/>
      <c r="I21" s="60"/>
    </row>
    <row r="22">
      <c r="A22" s="60"/>
      <c r="B22" s="60"/>
      <c r="C22" s="60"/>
      <c r="D22" s="60"/>
      <c r="E22" s="60"/>
      <c r="F22" s="60"/>
      <c r="G22" s="60"/>
      <c r="H22" s="60"/>
      <c r="I22" s="60"/>
    </row>
    <row r="23">
      <c r="A23" s="60"/>
      <c r="B23" s="60"/>
      <c r="C23" s="60"/>
      <c r="D23" s="60"/>
      <c r="E23" s="60"/>
      <c r="F23" s="60"/>
      <c r="G23" s="60"/>
      <c r="H23" s="60"/>
      <c r="I23" s="60"/>
    </row>
    <row r="24">
      <c r="F24" s="84">
        <f>SUM(F3:F23)</f>
        <v>273780</v>
      </c>
    </row>
  </sheetData>
  <mergeCells count="1">
    <mergeCell ref="B1:I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15.75"/>
    <col customWidth="1" min="3" max="3" width="53.13"/>
    <col customWidth="1" min="4" max="4" width="22.13"/>
    <col customWidth="1" min="5" max="5" width="16.75"/>
    <col customWidth="1" min="7" max="7" width="15.63"/>
  </cols>
  <sheetData>
    <row r="1">
      <c r="A1" s="56" t="s">
        <v>24</v>
      </c>
    </row>
    <row r="2">
      <c r="A2" s="58" t="s">
        <v>87</v>
      </c>
      <c r="B2" s="58" t="s">
        <v>4</v>
      </c>
      <c r="C2" s="58" t="s">
        <v>88</v>
      </c>
      <c r="D2" s="58" t="s">
        <v>6</v>
      </c>
      <c r="E2" s="58" t="s">
        <v>91</v>
      </c>
      <c r="F2" s="58"/>
      <c r="G2" s="58" t="s">
        <v>95</v>
      </c>
      <c r="H2" s="58" t="s">
        <v>10</v>
      </c>
      <c r="I2" s="60"/>
    </row>
    <row r="3">
      <c r="A3" s="61"/>
      <c r="B3" s="62"/>
      <c r="C3" s="63"/>
      <c r="D3" s="64"/>
      <c r="E3" s="65"/>
      <c r="F3" s="64"/>
      <c r="G3" s="64"/>
      <c r="H3" s="60"/>
      <c r="I3" s="60"/>
    </row>
    <row r="4">
      <c r="A4" s="61">
        <v>1.0</v>
      </c>
      <c r="B4" s="62" t="s">
        <v>77</v>
      </c>
      <c r="C4" s="63" t="s">
        <v>103</v>
      </c>
      <c r="D4" s="64"/>
      <c r="E4" s="65">
        <v>396695.0</v>
      </c>
      <c r="F4" s="64"/>
      <c r="G4" s="64">
        <f t="shared" ref="G4:G8" si="1">E4-F4+G3</f>
        <v>396695</v>
      </c>
      <c r="H4" s="60"/>
      <c r="I4" s="60"/>
    </row>
    <row r="5">
      <c r="A5" s="61">
        <v>2.0</v>
      </c>
      <c r="B5" s="69" t="s">
        <v>109</v>
      </c>
      <c r="C5" s="63" t="s">
        <v>110</v>
      </c>
      <c r="D5" s="64"/>
      <c r="E5" s="69">
        <v>70000.0</v>
      </c>
      <c r="F5" s="64"/>
      <c r="G5" s="64">
        <f t="shared" si="1"/>
        <v>466695</v>
      </c>
      <c r="H5" s="60"/>
      <c r="I5" s="60"/>
    </row>
    <row r="6">
      <c r="A6" s="61">
        <v>3.0</v>
      </c>
      <c r="B6" s="69" t="s">
        <v>111</v>
      </c>
      <c r="C6" s="71" t="s">
        <v>112</v>
      </c>
      <c r="D6" s="69" t="s">
        <v>113</v>
      </c>
      <c r="E6" s="69">
        <v>216550.0</v>
      </c>
      <c r="F6" s="64"/>
      <c r="G6" s="64">
        <f t="shared" si="1"/>
        <v>683245</v>
      </c>
      <c r="H6" s="60"/>
      <c r="I6" s="60"/>
    </row>
    <row r="7">
      <c r="A7" s="61">
        <v>4.0</v>
      </c>
      <c r="B7" s="69" t="s">
        <v>114</v>
      </c>
      <c r="C7" s="71" t="s">
        <v>115</v>
      </c>
      <c r="D7" s="69" t="s">
        <v>116</v>
      </c>
      <c r="E7" s="69">
        <v>135177.0</v>
      </c>
      <c r="F7" s="64"/>
      <c r="G7" s="64">
        <f t="shared" si="1"/>
        <v>818422</v>
      </c>
      <c r="H7" s="60"/>
      <c r="I7" s="60"/>
    </row>
    <row r="8">
      <c r="A8" s="61">
        <v>5.0</v>
      </c>
      <c r="B8" s="69" t="s">
        <v>53</v>
      </c>
      <c r="C8" s="71" t="s">
        <v>119</v>
      </c>
      <c r="D8" s="69" t="s">
        <v>120</v>
      </c>
      <c r="E8" s="69">
        <v>37925.0</v>
      </c>
      <c r="F8" s="64"/>
      <c r="G8" s="64">
        <f t="shared" si="1"/>
        <v>856347</v>
      </c>
      <c r="H8" s="60"/>
      <c r="I8" s="60"/>
    </row>
    <row r="9">
      <c r="A9" s="61">
        <v>6.0</v>
      </c>
      <c r="B9" s="64"/>
      <c r="C9" s="73"/>
      <c r="D9" s="64"/>
      <c r="E9" s="64"/>
      <c r="F9" s="64"/>
      <c r="G9" s="64"/>
      <c r="H9" s="60"/>
      <c r="I9" s="60"/>
    </row>
    <row r="10">
      <c r="A10" s="75"/>
      <c r="B10" s="64"/>
      <c r="C10" s="73"/>
      <c r="D10" s="64"/>
      <c r="E10" s="64"/>
      <c r="F10" s="64"/>
      <c r="G10" s="64"/>
      <c r="H10" s="60"/>
      <c r="I10" s="60"/>
    </row>
    <row r="11">
      <c r="A11" s="75"/>
      <c r="B11" s="64"/>
      <c r="C11" s="73"/>
      <c r="D11" s="64"/>
      <c r="E11" s="64"/>
      <c r="F11" s="64"/>
      <c r="G11" s="64"/>
      <c r="H11" s="60"/>
      <c r="I11" s="60"/>
    </row>
    <row r="12">
      <c r="A12" s="75"/>
      <c r="B12" s="64"/>
      <c r="C12" s="73"/>
      <c r="D12" s="64"/>
      <c r="E12" s="64"/>
      <c r="F12" s="64"/>
      <c r="G12" s="64"/>
      <c r="H12" s="60"/>
      <c r="I12" s="60"/>
    </row>
    <row r="13">
      <c r="A13" s="75"/>
      <c r="B13" s="64"/>
      <c r="C13" s="73"/>
      <c r="D13" s="64"/>
      <c r="E13" s="64"/>
      <c r="F13" s="64"/>
      <c r="G13" s="64"/>
      <c r="H13" s="60"/>
      <c r="I13" s="60"/>
    </row>
    <row r="14">
      <c r="A14" s="75"/>
      <c r="B14" s="64"/>
      <c r="C14" s="73"/>
      <c r="D14" s="64"/>
      <c r="E14" s="64"/>
      <c r="F14" s="64"/>
      <c r="G14" s="64"/>
      <c r="H14" s="60"/>
      <c r="I14" s="60"/>
    </row>
    <row r="15">
      <c r="A15" s="75"/>
      <c r="B15" s="64"/>
      <c r="C15" s="73"/>
      <c r="D15" s="64"/>
      <c r="E15" s="64"/>
      <c r="F15" s="64"/>
      <c r="G15" s="64"/>
      <c r="H15" s="60"/>
      <c r="I15" s="60"/>
    </row>
    <row r="16">
      <c r="A16" s="75"/>
      <c r="B16" s="64"/>
      <c r="C16" s="73"/>
      <c r="D16" s="64"/>
      <c r="E16" s="64"/>
      <c r="F16" s="64"/>
      <c r="G16" s="64"/>
      <c r="H16" s="60"/>
      <c r="I16" s="60"/>
    </row>
    <row r="17">
      <c r="A17" s="75"/>
      <c r="B17" s="64"/>
      <c r="C17" s="73"/>
      <c r="D17" s="64"/>
      <c r="E17" s="64"/>
      <c r="F17" s="64"/>
      <c r="G17" s="64"/>
      <c r="H17" s="60"/>
      <c r="I17" s="60"/>
    </row>
    <row r="18">
      <c r="A18" s="75"/>
      <c r="B18" s="64"/>
      <c r="C18" s="73"/>
      <c r="D18" s="64"/>
      <c r="E18" s="64"/>
      <c r="F18" s="64"/>
      <c r="G18" s="64"/>
      <c r="H18" s="60"/>
      <c r="I18" s="60"/>
    </row>
    <row r="19">
      <c r="A19" s="75"/>
      <c r="B19" s="64"/>
      <c r="C19" s="73"/>
      <c r="D19" s="64"/>
      <c r="E19" s="64"/>
      <c r="F19" s="64"/>
      <c r="G19" s="64"/>
      <c r="H19" s="60"/>
      <c r="I19" s="60"/>
    </row>
    <row r="20">
      <c r="A20" s="75"/>
      <c r="B20" s="64"/>
      <c r="C20" s="73"/>
      <c r="D20" s="64"/>
      <c r="E20" s="64"/>
      <c r="F20" s="64"/>
      <c r="G20" s="64"/>
      <c r="H20" s="60"/>
      <c r="I20" s="60"/>
    </row>
    <row r="21">
      <c r="A21" s="75"/>
      <c r="B21" s="64"/>
      <c r="C21" s="73"/>
      <c r="D21" s="64"/>
      <c r="E21" s="64"/>
      <c r="F21" s="64"/>
      <c r="G21" s="64"/>
      <c r="H21" s="60"/>
      <c r="I21" s="60"/>
    </row>
    <row r="22">
      <c r="A22" s="75"/>
      <c r="B22" s="64"/>
      <c r="C22" s="73"/>
      <c r="D22" s="64"/>
      <c r="E22" s="64"/>
      <c r="F22" s="64"/>
      <c r="G22" s="64"/>
      <c r="H22" s="60"/>
      <c r="I22" s="60"/>
    </row>
    <row r="23">
      <c r="A23" s="75"/>
      <c r="B23" s="64"/>
      <c r="C23" s="73"/>
      <c r="D23" s="64"/>
      <c r="E23" s="64"/>
      <c r="F23" s="64"/>
      <c r="G23" s="64"/>
      <c r="H23" s="60"/>
      <c r="I23" s="60"/>
    </row>
    <row r="24">
      <c r="A24" s="75"/>
      <c r="B24" s="64"/>
      <c r="C24" s="73"/>
      <c r="D24" s="64"/>
      <c r="E24" s="64"/>
      <c r="F24" s="64"/>
      <c r="G24" s="64"/>
      <c r="H24" s="60"/>
      <c r="I24" s="60"/>
    </row>
    <row r="25">
      <c r="A25" s="75"/>
      <c r="B25" s="64"/>
      <c r="C25" s="73"/>
      <c r="D25" s="64"/>
      <c r="E25" s="64"/>
      <c r="F25" s="64"/>
      <c r="G25" s="64"/>
      <c r="H25" s="60"/>
      <c r="I25" s="60"/>
    </row>
    <row r="26">
      <c r="A26" s="75"/>
      <c r="B26" s="64"/>
      <c r="C26" s="73"/>
      <c r="D26" s="64"/>
      <c r="E26" s="64"/>
      <c r="F26" s="64"/>
      <c r="G26" s="64"/>
      <c r="H26" s="60"/>
      <c r="I26" s="60"/>
    </row>
    <row r="27">
      <c r="A27" s="75"/>
      <c r="B27" s="60"/>
      <c r="C27" s="89"/>
      <c r="D27" s="60"/>
      <c r="E27" s="59"/>
      <c r="F27" s="60"/>
      <c r="G27" s="60"/>
      <c r="H27" s="60"/>
      <c r="I27" s="60"/>
    </row>
  </sheetData>
  <mergeCells count="1">
    <mergeCell ref="A1:I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42.75"/>
  </cols>
  <sheetData>
    <row r="1">
      <c r="A1" s="56" t="s">
        <v>19</v>
      </c>
    </row>
    <row r="2">
      <c r="A2" s="79"/>
      <c r="B2" s="79"/>
      <c r="C2" s="79"/>
      <c r="D2" s="79"/>
      <c r="E2" s="79"/>
      <c r="F2" s="79"/>
      <c r="G2" s="79"/>
      <c r="H2" s="79"/>
      <c r="I2" s="79"/>
    </row>
    <row r="3">
      <c r="A3" s="80" t="s">
        <v>129</v>
      </c>
      <c r="B3" s="80" t="s">
        <v>130</v>
      </c>
      <c r="C3" s="80" t="s">
        <v>131</v>
      </c>
      <c r="D3" s="80">
        <v>93000.0</v>
      </c>
      <c r="E3" s="81"/>
      <c r="F3" s="60"/>
      <c r="G3" s="60"/>
      <c r="H3" s="60"/>
      <c r="I3" s="60"/>
    </row>
    <row r="4">
      <c r="A4" s="80" t="s">
        <v>129</v>
      </c>
      <c r="B4" s="80" t="s">
        <v>133</v>
      </c>
      <c r="C4" s="80" t="s">
        <v>135</v>
      </c>
      <c r="D4" s="80">
        <v>46500.0</v>
      </c>
      <c r="E4" s="81"/>
      <c r="F4" s="60"/>
      <c r="G4" s="60"/>
      <c r="H4" s="60"/>
      <c r="I4" s="60"/>
    </row>
    <row r="5">
      <c r="A5" s="80" t="s">
        <v>122</v>
      </c>
      <c r="B5" s="80" t="s">
        <v>136</v>
      </c>
      <c r="C5" s="80" t="s">
        <v>137</v>
      </c>
      <c r="D5" s="80">
        <v>17000.0</v>
      </c>
      <c r="E5" s="81"/>
      <c r="F5" s="60"/>
      <c r="G5" s="60"/>
      <c r="H5" s="60"/>
      <c r="I5" s="60"/>
    </row>
    <row r="6">
      <c r="A6" s="80" t="s">
        <v>99</v>
      </c>
      <c r="B6" s="80" t="s">
        <v>133</v>
      </c>
      <c r="C6" s="80" t="s">
        <v>139</v>
      </c>
      <c r="D6" s="80">
        <v>6900.0</v>
      </c>
      <c r="E6" s="81"/>
      <c r="F6" s="60"/>
      <c r="G6" s="60"/>
      <c r="H6" s="60"/>
      <c r="I6" s="60"/>
    </row>
    <row r="7">
      <c r="A7" s="80" t="s">
        <v>99</v>
      </c>
      <c r="B7" s="80" t="s">
        <v>142</v>
      </c>
      <c r="C7" s="80"/>
      <c r="D7" s="80"/>
      <c r="E7" s="81"/>
      <c r="F7" s="60"/>
      <c r="G7" s="60"/>
      <c r="H7" s="60"/>
      <c r="I7" s="60"/>
    </row>
    <row r="8">
      <c r="A8" s="85" t="s">
        <v>143</v>
      </c>
      <c r="B8" s="85" t="s">
        <v>136</v>
      </c>
      <c r="C8" s="85" t="s">
        <v>139</v>
      </c>
      <c r="D8" s="86">
        <v>6900.0</v>
      </c>
      <c r="E8" s="81"/>
      <c r="F8" s="60"/>
      <c r="G8" s="60"/>
      <c r="H8" s="60"/>
      <c r="I8" s="60"/>
    </row>
    <row r="9">
      <c r="A9" s="85" t="s">
        <v>145</v>
      </c>
      <c r="B9" s="87" t="s">
        <v>146</v>
      </c>
      <c r="C9" s="85" t="s">
        <v>148</v>
      </c>
      <c r="D9" s="86">
        <v>28000.0</v>
      </c>
      <c r="E9" s="81"/>
      <c r="F9" s="60"/>
      <c r="G9" s="60"/>
      <c r="H9" s="60"/>
      <c r="I9" s="60"/>
    </row>
    <row r="10">
      <c r="A10" s="85" t="s">
        <v>149</v>
      </c>
      <c r="B10" s="87" t="s">
        <v>146</v>
      </c>
      <c r="C10" s="85" t="s">
        <v>135</v>
      </c>
      <c r="D10" s="86">
        <v>13800.0</v>
      </c>
      <c r="E10" s="81"/>
      <c r="F10" s="60"/>
      <c r="G10" s="60"/>
      <c r="H10" s="60"/>
      <c r="I10" s="60"/>
    </row>
    <row r="11">
      <c r="A11" s="48" t="s">
        <v>152</v>
      </c>
      <c r="B11" s="87" t="s">
        <v>146</v>
      </c>
      <c r="C11" s="48" t="s">
        <v>153</v>
      </c>
      <c r="D11" s="90">
        <v>9200.0</v>
      </c>
      <c r="E11" s="81"/>
      <c r="F11" s="60"/>
      <c r="G11" s="60"/>
      <c r="H11" s="60"/>
      <c r="I11" s="60"/>
    </row>
    <row r="12">
      <c r="A12" s="81"/>
      <c r="B12" s="81"/>
      <c r="C12" s="81"/>
      <c r="D12" s="80">
        <v>15000.0</v>
      </c>
      <c r="E12" s="81"/>
      <c r="F12" s="60"/>
      <c r="G12" s="60"/>
      <c r="H12" s="60"/>
      <c r="I12" s="60"/>
    </row>
    <row r="13">
      <c r="A13" s="81"/>
      <c r="B13" s="81"/>
      <c r="C13" s="81"/>
      <c r="D13" s="80">
        <v>11200.0</v>
      </c>
      <c r="E13" s="81"/>
      <c r="F13" s="60"/>
      <c r="G13" s="60"/>
      <c r="H13" s="60"/>
      <c r="I13" s="60"/>
    </row>
    <row r="14">
      <c r="A14" s="81"/>
      <c r="B14" s="81"/>
      <c r="C14" s="81"/>
      <c r="D14" s="80">
        <v>7500.0</v>
      </c>
      <c r="E14" s="81"/>
      <c r="F14" s="60"/>
      <c r="G14" s="60"/>
      <c r="H14" s="60"/>
      <c r="I14" s="60"/>
    </row>
    <row r="15">
      <c r="A15" s="81"/>
      <c r="B15" s="81"/>
      <c r="C15" s="81"/>
      <c r="D15" s="80"/>
      <c r="E15" s="81"/>
      <c r="F15" s="60"/>
      <c r="G15" s="60"/>
      <c r="H15" s="60"/>
      <c r="I15" s="60"/>
    </row>
    <row r="16">
      <c r="A16" s="81"/>
      <c r="B16" s="81"/>
      <c r="C16" s="81"/>
      <c r="D16" s="81"/>
      <c r="E16" s="81"/>
      <c r="F16" s="60"/>
      <c r="G16" s="60"/>
      <c r="H16" s="60"/>
      <c r="I16" s="60"/>
    </row>
    <row r="17">
      <c r="A17" s="81"/>
      <c r="B17" s="81"/>
      <c r="C17" s="81"/>
      <c r="D17" s="81"/>
      <c r="E17" s="81"/>
      <c r="F17" s="60"/>
      <c r="G17" s="60"/>
      <c r="H17" s="60"/>
      <c r="I17" s="60"/>
    </row>
    <row r="18">
      <c r="A18" s="81"/>
      <c r="B18" s="81"/>
      <c r="C18" s="81"/>
      <c r="D18" s="81"/>
      <c r="E18" s="81"/>
      <c r="F18" s="60"/>
      <c r="G18" s="60"/>
      <c r="H18" s="60"/>
      <c r="I18" s="60"/>
    </row>
    <row r="19">
      <c r="A19" s="81"/>
      <c r="B19" s="81"/>
      <c r="C19" s="81"/>
      <c r="D19" s="81"/>
      <c r="E19" s="81"/>
      <c r="F19" s="60"/>
      <c r="G19" s="60"/>
      <c r="H19" s="60"/>
      <c r="I19" s="60"/>
    </row>
    <row r="20">
      <c r="A20" s="81"/>
      <c r="B20" s="81"/>
      <c r="C20" s="81"/>
      <c r="D20" s="81"/>
      <c r="E20" s="81"/>
      <c r="F20" s="60"/>
      <c r="G20" s="60"/>
      <c r="H20" s="60"/>
      <c r="I20" s="60"/>
    </row>
    <row r="21">
      <c r="A21" s="81"/>
      <c r="B21" s="81"/>
      <c r="C21" s="81"/>
      <c r="D21" s="81"/>
      <c r="E21" s="81"/>
      <c r="F21" s="60"/>
      <c r="G21" s="60"/>
      <c r="H21" s="60"/>
      <c r="I21" s="60"/>
    </row>
    <row r="22">
      <c r="A22" s="81"/>
      <c r="B22" s="81"/>
      <c r="C22" s="81"/>
      <c r="D22" s="81"/>
      <c r="E22" s="81"/>
      <c r="F22" s="60"/>
      <c r="G22" s="60"/>
      <c r="H22" s="60"/>
      <c r="I22" s="60"/>
    </row>
    <row r="23">
      <c r="A23" s="81"/>
      <c r="B23" s="81"/>
      <c r="C23" s="81"/>
      <c r="D23" s="81">
        <f>SUM(D3:D22)</f>
        <v>255000</v>
      </c>
      <c r="E23" s="81"/>
      <c r="F23" s="60"/>
      <c r="G23" s="60"/>
      <c r="H23" s="60"/>
      <c r="I23" s="60"/>
    </row>
    <row r="24">
      <c r="A24" s="84"/>
      <c r="B24" s="84"/>
      <c r="C24" s="84"/>
      <c r="D24" s="84"/>
      <c r="E24" s="84"/>
    </row>
  </sheetData>
  <mergeCells count="1">
    <mergeCell ref="A1:I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23.88"/>
    <col customWidth="1" min="3" max="3" width="30.88"/>
    <col customWidth="1" min="4" max="4" width="70.5"/>
    <col customWidth="1" min="5" max="5" width="18.38"/>
    <col customWidth="1" min="6" max="6" width="15.5"/>
    <col customWidth="1" min="7" max="7" width="19.13"/>
    <col customWidth="1" min="8" max="8" width="25.63"/>
    <col customWidth="1" min="9" max="9" width="23.63"/>
  </cols>
  <sheetData>
    <row r="1">
      <c r="A1" s="94"/>
      <c r="B1" s="94"/>
      <c r="C1" s="94"/>
      <c r="D1" s="95" t="s">
        <v>166</v>
      </c>
      <c r="E1" s="94"/>
      <c r="F1" s="94"/>
      <c r="G1" s="94"/>
      <c r="H1" s="94"/>
      <c r="I1" s="94"/>
    </row>
    <row r="2">
      <c r="A2" s="96" t="s">
        <v>3</v>
      </c>
      <c r="B2" s="96" t="s">
        <v>14</v>
      </c>
      <c r="C2" s="96" t="s">
        <v>16</v>
      </c>
      <c r="D2" s="96" t="s">
        <v>170</v>
      </c>
      <c r="E2" s="96" t="s">
        <v>171</v>
      </c>
      <c r="F2" s="96" t="s">
        <v>172</v>
      </c>
      <c r="G2" s="96" t="s">
        <v>173</v>
      </c>
      <c r="H2" s="96" t="s">
        <v>174</v>
      </c>
      <c r="I2" s="96" t="s">
        <v>10</v>
      </c>
    </row>
    <row r="3">
      <c r="A3" s="97"/>
      <c r="B3" s="98"/>
      <c r="C3" s="99"/>
      <c r="D3" s="101"/>
      <c r="E3" s="102"/>
      <c r="F3" s="103"/>
      <c r="G3" s="104"/>
      <c r="H3" s="24"/>
      <c r="I3" s="24"/>
    </row>
    <row r="4">
      <c r="A4" s="97">
        <v>1.0</v>
      </c>
      <c r="B4" s="98" t="s">
        <v>82</v>
      </c>
      <c r="C4" s="99" t="s">
        <v>71</v>
      </c>
      <c r="D4" s="101" t="s">
        <v>176</v>
      </c>
      <c r="E4" s="102"/>
      <c r="F4" s="103">
        <v>6940.0</v>
      </c>
      <c r="G4" s="104">
        <f t="shared" ref="G4:G10" si="1">F4+G3</f>
        <v>6940</v>
      </c>
      <c r="H4" s="34"/>
      <c r="I4" s="34"/>
    </row>
    <row r="5">
      <c r="A5" s="97">
        <v>2.0</v>
      </c>
      <c r="B5" s="106" t="s">
        <v>122</v>
      </c>
      <c r="C5" s="99" t="s">
        <v>71</v>
      </c>
      <c r="D5" s="72" t="s">
        <v>181</v>
      </c>
      <c r="E5" s="107"/>
      <c r="F5" s="108">
        <v>2200.0</v>
      </c>
      <c r="G5" s="104">
        <f t="shared" si="1"/>
        <v>9140</v>
      </c>
      <c r="H5" s="34"/>
      <c r="I5" s="34"/>
    </row>
    <row r="6">
      <c r="A6" s="97">
        <v>3.0</v>
      </c>
      <c r="B6" s="106" t="s">
        <v>150</v>
      </c>
      <c r="C6" s="99" t="s">
        <v>71</v>
      </c>
      <c r="D6" s="109" t="s">
        <v>184</v>
      </c>
      <c r="E6" s="107"/>
      <c r="F6" s="108">
        <v>4000.0</v>
      </c>
      <c r="G6" s="104">
        <f t="shared" si="1"/>
        <v>13140</v>
      </c>
      <c r="H6" s="34"/>
      <c r="I6" s="34"/>
    </row>
    <row r="7">
      <c r="A7" s="97">
        <v>4.0</v>
      </c>
      <c r="B7" s="66" t="s">
        <v>182</v>
      </c>
      <c r="C7" s="99" t="s">
        <v>80</v>
      </c>
      <c r="D7" s="72" t="s">
        <v>181</v>
      </c>
      <c r="E7" s="113"/>
      <c r="F7" s="108">
        <v>1120.0</v>
      </c>
      <c r="G7" s="104">
        <f t="shared" si="1"/>
        <v>14260</v>
      </c>
      <c r="H7" s="34"/>
      <c r="I7" s="34"/>
    </row>
    <row r="8">
      <c r="A8" s="97">
        <v>5.0</v>
      </c>
      <c r="B8" s="66" t="s">
        <v>185</v>
      </c>
      <c r="C8" s="114" t="s">
        <v>188</v>
      </c>
      <c r="D8" s="72" t="s">
        <v>181</v>
      </c>
      <c r="E8" s="113"/>
      <c r="F8" s="115">
        <v>2140.0</v>
      </c>
      <c r="G8" s="104">
        <f t="shared" si="1"/>
        <v>16400</v>
      </c>
      <c r="H8" s="34"/>
      <c r="I8" s="34"/>
    </row>
    <row r="9">
      <c r="A9" s="116"/>
      <c r="B9" s="117" t="s">
        <v>111</v>
      </c>
      <c r="C9" s="118" t="s">
        <v>189</v>
      </c>
      <c r="D9" s="119" t="s">
        <v>190</v>
      </c>
      <c r="E9" s="113"/>
      <c r="F9" s="120">
        <v>7000.0</v>
      </c>
      <c r="G9" s="104">
        <f t="shared" si="1"/>
        <v>23400</v>
      </c>
      <c r="H9" s="13" t="s">
        <v>191</v>
      </c>
      <c r="I9" s="13"/>
    </row>
    <row r="10">
      <c r="A10" s="116"/>
      <c r="B10" s="119" t="s">
        <v>192</v>
      </c>
      <c r="C10" s="119" t="s">
        <v>188</v>
      </c>
      <c r="D10" s="124"/>
      <c r="E10" s="124"/>
      <c r="F10" s="103">
        <v>760.0</v>
      </c>
      <c r="G10" s="104">
        <f t="shared" si="1"/>
        <v>24160</v>
      </c>
      <c r="H10" s="13" t="s">
        <v>193</v>
      </c>
      <c r="I10" s="34"/>
    </row>
    <row r="11">
      <c r="A11" s="116"/>
      <c r="B11" s="124"/>
      <c r="C11" s="124"/>
      <c r="D11" s="124"/>
      <c r="E11" s="124"/>
      <c r="F11" s="104"/>
      <c r="G11" s="104"/>
      <c r="H11" s="34"/>
      <c r="I11" s="34"/>
    </row>
    <row r="12">
      <c r="A12" s="116"/>
      <c r="B12" s="124"/>
      <c r="C12" s="124"/>
      <c r="D12" s="124"/>
      <c r="E12" s="124"/>
      <c r="F12" s="104"/>
      <c r="G12" s="104"/>
      <c r="H12" s="34"/>
      <c r="I12" s="34"/>
    </row>
    <row r="13">
      <c r="A13" s="116"/>
      <c r="B13" s="124"/>
      <c r="C13" s="124"/>
      <c r="D13" s="124"/>
      <c r="E13" s="124"/>
      <c r="F13" s="104"/>
      <c r="G13" s="104"/>
      <c r="H13" s="34"/>
      <c r="I13" s="34"/>
    </row>
    <row r="14">
      <c r="A14" s="116"/>
      <c r="B14" s="124"/>
      <c r="C14" s="124"/>
      <c r="D14" s="124"/>
      <c r="E14" s="124"/>
      <c r="F14" s="104"/>
      <c r="G14" s="104"/>
      <c r="H14" s="34"/>
      <c r="I14" s="34"/>
    </row>
    <row r="15">
      <c r="A15" s="116"/>
      <c r="B15" s="124"/>
      <c r="C15" s="124"/>
      <c r="D15" s="124"/>
      <c r="E15" s="124"/>
      <c r="F15" s="104"/>
      <c r="G15" s="104"/>
      <c r="H15" s="34"/>
      <c r="I15" s="34"/>
    </row>
    <row r="16">
      <c r="A16" s="116"/>
      <c r="B16" s="124"/>
      <c r="C16" s="124"/>
      <c r="D16" s="124"/>
      <c r="E16" s="124"/>
      <c r="F16" s="104"/>
      <c r="G16" s="104"/>
      <c r="H16" s="34"/>
      <c r="I16" s="34"/>
    </row>
    <row r="17">
      <c r="A17" s="116"/>
      <c r="B17" s="124"/>
      <c r="C17" s="124"/>
      <c r="D17" s="124"/>
      <c r="E17" s="124"/>
      <c r="F17" s="104"/>
      <c r="G17" s="104"/>
      <c r="H17" s="34"/>
      <c r="I17" s="34"/>
    </row>
    <row r="18">
      <c r="A18" s="116"/>
      <c r="B18" s="124"/>
      <c r="C18" s="124"/>
      <c r="D18" s="124"/>
      <c r="E18" s="124"/>
      <c r="F18" s="104"/>
      <c r="G18" s="104"/>
      <c r="H18" s="34"/>
      <c r="I18" s="34"/>
    </row>
    <row r="19">
      <c r="A19" s="116"/>
      <c r="B19" s="124"/>
      <c r="C19" s="124"/>
      <c r="D19" s="124"/>
      <c r="E19" s="124"/>
      <c r="F19" s="104"/>
      <c r="G19" s="104"/>
      <c r="H19" s="34"/>
      <c r="I19" s="34"/>
    </row>
    <row r="20">
      <c r="A20" s="116"/>
      <c r="B20" s="124"/>
      <c r="C20" s="124"/>
      <c r="D20" s="124"/>
      <c r="E20" s="124"/>
      <c r="F20" s="104"/>
      <c r="G20" s="104"/>
      <c r="H20" s="34"/>
      <c r="I20" s="34"/>
    </row>
    <row r="21">
      <c r="A21" s="116"/>
      <c r="B21" s="124"/>
      <c r="C21" s="124"/>
      <c r="D21" s="124"/>
      <c r="E21" s="124"/>
      <c r="F21" s="104"/>
      <c r="G21" s="104"/>
      <c r="H21" s="34"/>
      <c r="I21" s="34"/>
    </row>
    <row r="22">
      <c r="A22" s="116"/>
      <c r="B22" s="124"/>
      <c r="C22" s="124"/>
      <c r="D22" s="124"/>
      <c r="E22" s="124"/>
      <c r="F22" s="104"/>
      <c r="G22" s="104"/>
      <c r="H22" s="34"/>
      <c r="I22" s="34"/>
    </row>
    <row r="23">
      <c r="A23" s="116"/>
      <c r="B23" s="124"/>
      <c r="C23" s="124"/>
      <c r="D23" s="124"/>
      <c r="E23" s="124"/>
      <c r="F23" s="104"/>
      <c r="G23" s="104"/>
      <c r="H23" s="34"/>
      <c r="I23" s="34"/>
    </row>
    <row r="24">
      <c r="A24" s="116"/>
      <c r="B24" s="102"/>
      <c r="C24" s="102"/>
      <c r="D24" s="102"/>
      <c r="E24" s="102"/>
      <c r="F24" s="104"/>
      <c r="G24" s="104"/>
      <c r="H24" s="34"/>
      <c r="I24" s="34"/>
    </row>
    <row r="25">
      <c r="A25" s="116"/>
      <c r="B25" s="102"/>
      <c r="C25" s="102"/>
      <c r="D25" s="102"/>
      <c r="E25" s="102"/>
      <c r="F25" s="59"/>
      <c r="G25" s="24"/>
      <c r="H25" s="34"/>
      <c r="I25" s="34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63"/>
    <col customWidth="1" min="3" max="3" width="37.0"/>
    <col customWidth="1" min="4" max="4" width="15.13"/>
  </cols>
  <sheetData>
    <row r="1">
      <c r="A1" s="56" t="s">
        <v>32</v>
      </c>
    </row>
    <row r="2">
      <c r="A2" s="9" t="s">
        <v>3</v>
      </c>
      <c r="B2" s="9" t="s">
        <v>4</v>
      </c>
      <c r="C2" s="9" t="s">
        <v>88</v>
      </c>
      <c r="D2" s="105"/>
      <c r="E2" s="105"/>
      <c r="F2" s="105"/>
      <c r="G2" s="105"/>
      <c r="H2" s="105"/>
    </row>
    <row r="3">
      <c r="A3" s="81"/>
      <c r="B3" s="80" t="s">
        <v>162</v>
      </c>
      <c r="C3" s="80" t="s">
        <v>180</v>
      </c>
      <c r="D3" s="81"/>
      <c r="E3" s="80">
        <v>7530.0</v>
      </c>
      <c r="F3" s="81"/>
      <c r="G3" s="81"/>
      <c r="H3" s="81"/>
    </row>
    <row r="4">
      <c r="A4" s="81"/>
      <c r="B4" s="81"/>
      <c r="C4" s="81"/>
      <c r="D4" s="81"/>
      <c r="E4" s="81"/>
      <c r="F4" s="81"/>
      <c r="G4" s="81"/>
      <c r="H4" s="81"/>
    </row>
    <row r="5">
      <c r="A5" s="81"/>
      <c r="B5" s="81"/>
      <c r="C5" s="81"/>
      <c r="D5" s="81"/>
      <c r="E5" s="81"/>
      <c r="F5" s="81"/>
      <c r="G5" s="81"/>
      <c r="H5" s="81"/>
    </row>
    <row r="6">
      <c r="A6" s="81"/>
      <c r="B6" s="81"/>
      <c r="C6" s="81"/>
      <c r="D6" s="81"/>
      <c r="E6" s="81"/>
      <c r="F6" s="81"/>
      <c r="G6" s="81"/>
      <c r="H6" s="81"/>
    </row>
    <row r="7">
      <c r="A7" s="81"/>
      <c r="B7" s="81"/>
      <c r="C7" s="81"/>
      <c r="D7" s="81"/>
      <c r="E7" s="81"/>
      <c r="F7" s="81"/>
      <c r="G7" s="81"/>
      <c r="H7" s="81"/>
    </row>
    <row r="8">
      <c r="A8" s="81"/>
      <c r="B8" s="81"/>
      <c r="C8" s="81"/>
      <c r="D8" s="81"/>
      <c r="E8" s="81"/>
      <c r="F8" s="81"/>
      <c r="G8" s="81"/>
      <c r="H8" s="81"/>
    </row>
    <row r="9">
      <c r="A9" s="81"/>
      <c r="B9" s="81"/>
      <c r="C9" s="81"/>
      <c r="D9" s="81"/>
      <c r="E9" s="81"/>
      <c r="F9" s="81"/>
      <c r="G9" s="81"/>
      <c r="H9" s="81"/>
    </row>
    <row r="10">
      <c r="A10" s="81"/>
      <c r="B10" s="81"/>
      <c r="C10" s="81"/>
      <c r="D10" s="81"/>
      <c r="E10" s="81"/>
      <c r="F10" s="81"/>
      <c r="G10" s="81"/>
      <c r="H10" s="81"/>
    </row>
    <row r="11">
      <c r="A11" s="81"/>
      <c r="B11" s="81"/>
      <c r="C11" s="81"/>
      <c r="D11" s="81"/>
      <c r="E11" s="81"/>
      <c r="F11" s="81"/>
      <c r="G11" s="81"/>
      <c r="H11" s="81"/>
    </row>
    <row r="12">
      <c r="A12" s="81"/>
      <c r="B12" s="81"/>
      <c r="C12" s="81"/>
      <c r="D12" s="81"/>
      <c r="E12" s="81"/>
      <c r="F12" s="81"/>
      <c r="G12" s="81"/>
      <c r="H12" s="81"/>
    </row>
    <row r="13">
      <c r="A13" s="81"/>
      <c r="B13" s="81"/>
      <c r="C13" s="81"/>
      <c r="D13" s="81"/>
      <c r="E13" s="81"/>
      <c r="F13" s="81"/>
      <c r="G13" s="81"/>
      <c r="H13" s="81"/>
    </row>
    <row r="14">
      <c r="A14" s="81"/>
      <c r="B14" s="81"/>
      <c r="C14" s="81"/>
      <c r="D14" s="81"/>
      <c r="E14" s="81"/>
      <c r="F14" s="81"/>
      <c r="G14" s="81"/>
      <c r="H14" s="81"/>
    </row>
    <row r="15">
      <c r="A15" s="81"/>
      <c r="B15" s="81"/>
      <c r="C15" s="81"/>
      <c r="D15" s="81"/>
      <c r="E15" s="81"/>
      <c r="F15" s="81"/>
      <c r="G15" s="81"/>
      <c r="H15" s="81"/>
    </row>
    <row r="16">
      <c r="A16" s="81"/>
      <c r="B16" s="81"/>
      <c r="C16" s="81"/>
      <c r="D16" s="81"/>
      <c r="E16" s="81"/>
      <c r="F16" s="81"/>
      <c r="G16" s="81"/>
      <c r="H16" s="81"/>
    </row>
    <row r="17">
      <c r="A17" s="81"/>
      <c r="B17" s="81"/>
      <c r="C17" s="81"/>
      <c r="D17" s="81"/>
      <c r="E17" s="81"/>
      <c r="F17" s="81"/>
      <c r="G17" s="81"/>
      <c r="H17" s="81"/>
    </row>
    <row r="18">
      <c r="A18" s="81"/>
      <c r="B18" s="81"/>
      <c r="C18" s="81"/>
      <c r="D18" s="81"/>
      <c r="E18" s="81"/>
      <c r="F18" s="81"/>
      <c r="G18" s="81"/>
      <c r="H18" s="81"/>
    </row>
    <row r="19">
      <c r="A19" s="81"/>
      <c r="B19" s="81"/>
      <c r="C19" s="81"/>
      <c r="D19" s="81"/>
      <c r="E19" s="81"/>
      <c r="F19" s="81"/>
      <c r="G19" s="81"/>
      <c r="H19" s="81"/>
    </row>
    <row r="20">
      <c r="A20" s="81"/>
      <c r="B20" s="81"/>
      <c r="C20" s="81"/>
      <c r="D20" s="81"/>
      <c r="E20" s="81"/>
      <c r="F20" s="81"/>
      <c r="G20" s="81"/>
      <c r="H20" s="81"/>
    </row>
    <row r="21">
      <c r="A21" s="60"/>
      <c r="B21" s="60"/>
      <c r="C21" s="60"/>
      <c r="D21" s="60"/>
      <c r="E21" s="60"/>
      <c r="F21" s="60"/>
      <c r="G21" s="60"/>
      <c r="H21" s="60"/>
    </row>
    <row r="22">
      <c r="A22" s="60"/>
      <c r="B22" s="60"/>
      <c r="C22" s="60"/>
      <c r="D22" s="60"/>
      <c r="E22" s="60"/>
      <c r="F22" s="60"/>
      <c r="G22" s="60"/>
      <c r="H22" s="60"/>
    </row>
    <row r="23">
      <c r="A23" s="60"/>
      <c r="B23" s="60"/>
      <c r="C23" s="60"/>
      <c r="D23" s="60"/>
      <c r="E23" s="60"/>
      <c r="F23" s="60"/>
      <c r="G23" s="60"/>
      <c r="H23" s="60"/>
    </row>
    <row r="24">
      <c r="A24" s="60"/>
      <c r="B24" s="60"/>
      <c r="C24" s="60"/>
      <c r="D24" s="60"/>
      <c r="E24" s="60"/>
      <c r="F24" s="60"/>
      <c r="G24" s="60"/>
      <c r="H24" s="60"/>
    </row>
    <row r="25">
      <c r="A25" s="60"/>
      <c r="B25" s="60"/>
      <c r="C25" s="60"/>
      <c r="D25" s="60"/>
      <c r="E25" s="60"/>
      <c r="F25" s="60"/>
      <c r="G25" s="60"/>
      <c r="H25" s="60"/>
    </row>
  </sheetData>
  <mergeCells count="1">
    <mergeCell ref="A1:H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17.0"/>
    <col customWidth="1" min="3" max="3" width="37.5"/>
  </cols>
  <sheetData>
    <row r="1">
      <c r="A1" s="129"/>
      <c r="B1" s="130" t="s">
        <v>38</v>
      </c>
    </row>
    <row r="2">
      <c r="A2" s="60"/>
      <c r="B2" s="131"/>
      <c r="C2" s="131"/>
      <c r="D2" s="60"/>
      <c r="E2" s="60"/>
      <c r="F2" s="60"/>
      <c r="G2" s="60"/>
      <c r="H2" s="60"/>
    </row>
    <row r="3">
      <c r="A3" s="34"/>
      <c r="B3" s="132" t="s">
        <v>198</v>
      </c>
      <c r="C3" s="52" t="s">
        <v>199</v>
      </c>
      <c r="D3" s="13">
        <v>20000.0</v>
      </c>
      <c r="E3" s="34"/>
      <c r="F3" s="34"/>
      <c r="G3" s="34"/>
      <c r="H3" s="34"/>
    </row>
    <row r="4">
      <c r="A4" s="34"/>
      <c r="B4" s="13" t="s">
        <v>150</v>
      </c>
      <c r="C4" s="13" t="s">
        <v>200</v>
      </c>
      <c r="D4" s="13">
        <v>22000.0</v>
      </c>
      <c r="E4" s="34"/>
      <c r="F4" s="34"/>
      <c r="G4" s="34"/>
      <c r="H4" s="34"/>
    </row>
    <row r="5">
      <c r="A5" s="34"/>
      <c r="B5" s="57" t="s">
        <v>150</v>
      </c>
      <c r="C5" s="13" t="s">
        <v>201</v>
      </c>
      <c r="D5" s="57">
        <v>4000.0</v>
      </c>
      <c r="E5" s="57"/>
      <c r="F5" s="34"/>
      <c r="G5" s="34"/>
      <c r="H5" s="34"/>
    </row>
    <row r="6">
      <c r="A6" s="34"/>
      <c r="B6" s="57" t="s">
        <v>106</v>
      </c>
      <c r="C6" s="57" t="s">
        <v>202</v>
      </c>
      <c r="D6" s="57">
        <v>5680.0</v>
      </c>
      <c r="E6" s="57"/>
      <c r="F6" s="34"/>
      <c r="G6" s="34"/>
      <c r="H6" s="34"/>
    </row>
    <row r="7">
      <c r="A7" s="34"/>
      <c r="B7" s="13"/>
      <c r="C7" s="57"/>
      <c r="D7" s="13"/>
      <c r="E7" s="34"/>
      <c r="F7" s="34"/>
      <c r="G7" s="34"/>
      <c r="H7" s="13"/>
    </row>
    <row r="8">
      <c r="A8" s="34"/>
      <c r="B8" s="34"/>
      <c r="C8" s="132"/>
      <c r="D8" s="49"/>
      <c r="E8" s="47"/>
      <c r="F8" s="47"/>
      <c r="G8" s="47"/>
      <c r="H8" s="132"/>
    </row>
    <row r="9">
      <c r="A9" s="34"/>
      <c r="B9" s="34"/>
      <c r="C9" s="34"/>
      <c r="D9" s="34"/>
      <c r="E9" s="34"/>
      <c r="F9" s="34"/>
      <c r="G9" s="34"/>
      <c r="H9" s="34"/>
    </row>
    <row r="10">
      <c r="A10" s="34"/>
      <c r="B10" s="34"/>
      <c r="C10" s="34"/>
      <c r="D10" s="34"/>
      <c r="E10" s="34"/>
      <c r="F10" s="34"/>
      <c r="G10" s="34"/>
      <c r="H10" s="34"/>
    </row>
    <row r="11">
      <c r="A11" s="34"/>
      <c r="B11" s="34"/>
      <c r="C11" s="34"/>
      <c r="D11" s="34"/>
      <c r="E11" s="34"/>
      <c r="F11" s="34"/>
      <c r="G11" s="34"/>
      <c r="H11" s="34"/>
    </row>
    <row r="12">
      <c r="A12" s="34"/>
      <c r="B12" s="34"/>
      <c r="C12" s="34"/>
      <c r="D12" s="34"/>
      <c r="E12" s="34"/>
      <c r="F12" s="34"/>
      <c r="G12" s="34"/>
      <c r="H12" s="34"/>
    </row>
    <row r="13">
      <c r="A13" s="34"/>
      <c r="B13" s="34"/>
      <c r="C13" s="34"/>
      <c r="D13" s="34"/>
      <c r="E13" s="34"/>
      <c r="F13" s="34"/>
      <c r="G13" s="34"/>
      <c r="H13" s="34"/>
    </row>
    <row r="14">
      <c r="A14" s="34"/>
      <c r="B14" s="34"/>
      <c r="C14" s="34"/>
      <c r="D14" s="34"/>
      <c r="E14" s="34"/>
      <c r="F14" s="34"/>
      <c r="G14" s="34"/>
      <c r="H14" s="34"/>
    </row>
    <row r="15">
      <c r="A15" s="34"/>
      <c r="B15" s="34"/>
      <c r="C15" s="34"/>
      <c r="D15" s="34"/>
      <c r="E15" s="34"/>
      <c r="F15" s="34"/>
      <c r="G15" s="34"/>
      <c r="H15" s="34"/>
    </row>
    <row r="16">
      <c r="A16" s="34"/>
      <c r="B16" s="34"/>
      <c r="C16" s="34"/>
      <c r="D16" s="34"/>
      <c r="E16" s="34"/>
      <c r="F16" s="34"/>
      <c r="G16" s="34"/>
      <c r="H16" s="34"/>
    </row>
    <row r="17">
      <c r="A17" s="34"/>
      <c r="B17" s="34"/>
      <c r="C17" s="34"/>
      <c r="D17" s="34"/>
      <c r="E17" s="34"/>
      <c r="F17" s="34"/>
      <c r="G17" s="34"/>
      <c r="H17" s="34"/>
    </row>
    <row r="18">
      <c r="A18" s="34"/>
      <c r="B18" s="34"/>
      <c r="C18" s="34"/>
      <c r="D18" s="34"/>
      <c r="E18" s="34"/>
      <c r="F18" s="34"/>
      <c r="G18" s="34"/>
      <c r="H18" s="34"/>
    </row>
    <row r="19">
      <c r="A19" s="34"/>
      <c r="B19" s="34"/>
      <c r="C19" s="34"/>
      <c r="D19" s="34"/>
      <c r="E19" s="34"/>
      <c r="F19" s="34"/>
      <c r="G19" s="34"/>
      <c r="H19" s="34"/>
    </row>
    <row r="20">
      <c r="A20" s="60"/>
      <c r="B20" s="60"/>
      <c r="C20" s="60"/>
      <c r="D20" s="60"/>
      <c r="E20" s="60"/>
      <c r="F20" s="60"/>
      <c r="G20" s="60"/>
      <c r="H20" s="60"/>
    </row>
    <row r="21">
      <c r="A21" s="60"/>
      <c r="B21" s="60"/>
      <c r="C21" s="60"/>
      <c r="D21" s="60"/>
      <c r="E21" s="60"/>
      <c r="F21" s="60"/>
      <c r="G21" s="60"/>
      <c r="H21" s="60"/>
    </row>
    <row r="22">
      <c r="A22" s="60"/>
      <c r="B22" s="60"/>
      <c r="C22" s="60"/>
      <c r="D22" s="34">
        <f>SUM(D3:D21)</f>
        <v>51680</v>
      </c>
      <c r="E22" s="60"/>
      <c r="F22" s="60"/>
      <c r="G22" s="60"/>
      <c r="H22" s="60"/>
    </row>
  </sheetData>
  <mergeCells count="1">
    <mergeCell ref="B1:H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6.5"/>
    <col customWidth="1" min="3" max="3" width="60.88"/>
  </cols>
  <sheetData>
    <row r="1">
      <c r="A1" s="56" t="s">
        <v>203</v>
      </c>
    </row>
    <row r="2">
      <c r="A2" s="9" t="s">
        <v>3</v>
      </c>
      <c r="B2" s="9" t="s">
        <v>4</v>
      </c>
      <c r="C2" s="9" t="s">
        <v>88</v>
      </c>
      <c r="D2" s="105"/>
      <c r="E2" s="105"/>
      <c r="F2" s="105"/>
      <c r="G2" s="105"/>
    </row>
    <row r="3">
      <c r="A3" s="134" t="s">
        <v>79</v>
      </c>
      <c r="B3" s="136" t="s">
        <v>80</v>
      </c>
      <c r="C3" s="137" t="s">
        <v>205</v>
      </c>
      <c r="D3" s="138">
        <v>14000.0</v>
      </c>
      <c r="E3" s="80"/>
      <c r="F3" s="81"/>
      <c r="G3" s="81"/>
    </row>
    <row r="4">
      <c r="A4" s="80" t="s">
        <v>206</v>
      </c>
      <c r="B4" s="80" t="s">
        <v>195</v>
      </c>
      <c r="C4" s="137" t="s">
        <v>208</v>
      </c>
      <c r="D4" s="74">
        <v>8800.0</v>
      </c>
      <c r="E4" s="81"/>
      <c r="F4" s="81"/>
      <c r="G4" s="81"/>
    </row>
    <row r="5">
      <c r="A5" s="81"/>
      <c r="B5" s="80"/>
      <c r="C5" s="80"/>
      <c r="D5" s="141"/>
      <c r="E5" s="81"/>
      <c r="F5" s="81"/>
      <c r="G5" s="81"/>
    </row>
    <row r="6">
      <c r="A6" s="81"/>
      <c r="B6" s="81"/>
      <c r="C6" s="81"/>
      <c r="D6" s="81"/>
      <c r="E6" s="81"/>
      <c r="F6" s="81"/>
      <c r="G6" s="81"/>
    </row>
    <row r="7">
      <c r="A7" s="81"/>
      <c r="B7" s="81"/>
      <c r="C7" s="81"/>
      <c r="D7" s="81"/>
      <c r="E7" s="81"/>
      <c r="F7" s="81"/>
      <c r="G7" s="81"/>
    </row>
    <row r="8">
      <c r="A8" s="81"/>
      <c r="B8" s="81"/>
      <c r="C8" s="81"/>
      <c r="D8" s="81">
        <f>SUM(D3:D7)</f>
        <v>22800</v>
      </c>
      <c r="E8" s="81"/>
      <c r="F8" s="81"/>
      <c r="G8" s="81"/>
    </row>
  </sheetData>
  <mergeCells count="1">
    <mergeCell ref="A1:G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40.25"/>
    <col customWidth="1" min="3" max="3" width="24.5"/>
    <col customWidth="1" min="4" max="4" width="18.88"/>
  </cols>
  <sheetData>
    <row r="1">
      <c r="A1" s="135" t="s">
        <v>204</v>
      </c>
    </row>
    <row r="2">
      <c r="A2" s="60"/>
      <c r="B2" s="60"/>
      <c r="C2" s="60"/>
      <c r="D2" s="60"/>
      <c r="E2" s="60"/>
      <c r="F2" s="60"/>
      <c r="G2" s="60"/>
    </row>
    <row r="3">
      <c r="A3" s="34"/>
      <c r="B3" s="13" t="s">
        <v>207</v>
      </c>
      <c r="C3" s="34"/>
      <c r="D3" s="13">
        <v>30000.0</v>
      </c>
      <c r="E3" s="34"/>
      <c r="F3" s="34"/>
      <c r="G3" s="34"/>
    </row>
    <row r="4">
      <c r="A4" s="34"/>
      <c r="B4" s="34"/>
      <c r="C4" s="34"/>
      <c r="D4" s="34"/>
      <c r="E4" s="34"/>
      <c r="F4" s="34"/>
      <c r="G4" s="34"/>
    </row>
    <row r="5">
      <c r="A5" s="34"/>
      <c r="B5" s="34"/>
      <c r="C5" s="34"/>
      <c r="D5" s="34"/>
      <c r="E5" s="34"/>
      <c r="F5" s="34"/>
      <c r="G5" s="34"/>
    </row>
    <row r="6">
      <c r="A6" s="34"/>
      <c r="B6" s="34"/>
      <c r="C6" s="34"/>
      <c r="D6" s="34"/>
      <c r="E6" s="34"/>
      <c r="F6" s="34"/>
      <c r="G6" s="34"/>
    </row>
    <row r="7">
      <c r="A7" s="34"/>
      <c r="B7" s="34"/>
      <c r="C7" s="34"/>
      <c r="D7" s="34"/>
      <c r="E7" s="34"/>
      <c r="F7" s="34"/>
      <c r="G7" s="34"/>
    </row>
    <row r="8">
      <c r="A8" s="34"/>
      <c r="B8" s="34"/>
      <c r="C8" s="34"/>
      <c r="D8" s="34"/>
      <c r="E8" s="34"/>
      <c r="F8" s="34"/>
      <c r="G8" s="34"/>
    </row>
    <row r="9">
      <c r="A9" s="34"/>
      <c r="B9" s="34"/>
      <c r="C9" s="34"/>
      <c r="D9" s="34"/>
      <c r="E9" s="34"/>
      <c r="F9" s="34"/>
      <c r="G9" s="34"/>
    </row>
    <row r="10">
      <c r="A10" s="34"/>
      <c r="B10" s="34"/>
      <c r="C10" s="34"/>
      <c r="D10" s="34"/>
      <c r="E10" s="34"/>
      <c r="F10" s="34"/>
      <c r="G10" s="34"/>
    </row>
    <row r="11">
      <c r="A11" s="34"/>
      <c r="B11" s="34"/>
      <c r="C11" s="34"/>
      <c r="D11" s="34"/>
      <c r="E11" s="34"/>
      <c r="F11" s="34"/>
      <c r="G11" s="34"/>
    </row>
    <row r="12">
      <c r="A12" s="34"/>
      <c r="B12" s="34"/>
      <c r="C12" s="34"/>
      <c r="D12" s="34"/>
      <c r="E12" s="34"/>
      <c r="F12" s="34"/>
      <c r="G12" s="34"/>
    </row>
    <row r="13">
      <c r="A13" s="43"/>
      <c r="B13" s="43"/>
      <c r="C13" s="43"/>
      <c r="D13" s="43"/>
      <c r="E13" s="43"/>
      <c r="F13" s="43"/>
      <c r="G13" s="43"/>
    </row>
  </sheetData>
  <mergeCells count="1">
    <mergeCell ref="A1:G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25.13"/>
    <col customWidth="1" min="3" max="3" width="20.25"/>
    <col customWidth="1" min="4" max="4" width="77.0"/>
    <col customWidth="1" min="5" max="5" width="20.5"/>
  </cols>
  <sheetData>
    <row r="2">
      <c r="A2" s="155" t="s">
        <v>216</v>
      </c>
      <c r="B2" s="6"/>
      <c r="C2" s="6"/>
      <c r="D2" s="6"/>
      <c r="E2" s="6"/>
      <c r="F2" s="6"/>
      <c r="G2" s="8"/>
      <c r="H2" s="60"/>
      <c r="I2" s="60"/>
    </row>
    <row r="3">
      <c r="A3" s="156"/>
      <c r="B3" s="158"/>
      <c r="C3" s="158"/>
      <c r="D3" s="158"/>
      <c r="E3" s="158"/>
      <c r="F3" s="158"/>
      <c r="G3" s="60"/>
      <c r="H3" s="60"/>
      <c r="I3" s="60"/>
    </row>
    <row r="4">
      <c r="A4" s="161"/>
      <c r="B4" s="163" t="s">
        <v>219</v>
      </c>
      <c r="C4" s="75"/>
      <c r="D4" s="167" t="s">
        <v>221</v>
      </c>
      <c r="E4" s="168">
        <v>3000.0</v>
      </c>
      <c r="F4" s="170"/>
      <c r="G4" s="171">
        <f t="shared" ref="G4:G23" si="1">E4-F4+G3</f>
        <v>3000</v>
      </c>
      <c r="H4" s="60"/>
      <c r="I4" s="60"/>
    </row>
    <row r="5">
      <c r="A5" s="75"/>
      <c r="B5" s="163" t="s">
        <v>223</v>
      </c>
      <c r="C5" s="75"/>
      <c r="D5" s="167" t="s">
        <v>225</v>
      </c>
      <c r="E5" s="168">
        <v>2000.0</v>
      </c>
      <c r="F5" s="170"/>
      <c r="G5" s="171">
        <f t="shared" si="1"/>
        <v>5000</v>
      </c>
      <c r="H5" s="60"/>
      <c r="I5" s="60"/>
    </row>
    <row r="6">
      <c r="A6" s="172"/>
      <c r="B6" s="173" t="s">
        <v>227</v>
      </c>
      <c r="C6" s="174"/>
      <c r="D6" s="175" t="s">
        <v>228</v>
      </c>
      <c r="E6" s="168">
        <v>2000.0</v>
      </c>
      <c r="F6" s="170"/>
      <c r="G6" s="171">
        <f t="shared" si="1"/>
        <v>7000</v>
      </c>
      <c r="H6" s="60"/>
      <c r="I6" s="60"/>
    </row>
    <row r="7">
      <c r="A7" s="172"/>
      <c r="B7" s="173" t="s">
        <v>35</v>
      </c>
      <c r="C7" s="174"/>
      <c r="D7" s="175" t="s">
        <v>229</v>
      </c>
      <c r="E7" s="168">
        <v>3000.0</v>
      </c>
      <c r="F7" s="170"/>
      <c r="G7" s="171">
        <f t="shared" si="1"/>
        <v>10000</v>
      </c>
      <c r="H7" s="60"/>
      <c r="I7" s="60"/>
    </row>
    <row r="8">
      <c r="A8" s="172"/>
      <c r="B8" s="106" t="s">
        <v>106</v>
      </c>
      <c r="C8" s="176" t="s">
        <v>107</v>
      </c>
      <c r="D8" s="177" t="s">
        <v>108</v>
      </c>
      <c r="E8" s="168">
        <v>1000.0</v>
      </c>
      <c r="F8" s="170"/>
      <c r="G8" s="171">
        <f t="shared" si="1"/>
        <v>11000</v>
      </c>
      <c r="H8" s="60"/>
      <c r="I8" s="60"/>
    </row>
    <row r="9">
      <c r="A9" s="172"/>
      <c r="B9" s="173" t="s">
        <v>117</v>
      </c>
      <c r="C9" s="180" t="s">
        <v>71</v>
      </c>
      <c r="D9" s="175" t="s">
        <v>231</v>
      </c>
      <c r="E9" s="168">
        <v>2000.0</v>
      </c>
      <c r="F9" s="170"/>
      <c r="G9" s="171">
        <f t="shared" si="1"/>
        <v>13000</v>
      </c>
      <c r="H9" s="60"/>
      <c r="I9" s="60"/>
    </row>
    <row r="10">
      <c r="A10" s="172"/>
      <c r="B10" s="173" t="s">
        <v>125</v>
      </c>
      <c r="C10" s="174"/>
      <c r="D10" s="175" t="s">
        <v>232</v>
      </c>
      <c r="E10" s="168">
        <v>2000.0</v>
      </c>
      <c r="F10" s="170"/>
      <c r="G10" s="171">
        <f t="shared" si="1"/>
        <v>15000</v>
      </c>
      <c r="H10" s="60"/>
      <c r="I10" s="60"/>
    </row>
    <row r="11">
      <c r="A11" s="172"/>
      <c r="B11" s="173" t="s">
        <v>99</v>
      </c>
      <c r="C11" s="174"/>
      <c r="D11" s="175" t="s">
        <v>234</v>
      </c>
      <c r="E11" s="168">
        <v>2000.0</v>
      </c>
      <c r="F11" s="170"/>
      <c r="G11" s="171">
        <f t="shared" si="1"/>
        <v>17000</v>
      </c>
      <c r="H11" s="60"/>
      <c r="I11" s="60"/>
    </row>
    <row r="12">
      <c r="A12" s="172"/>
      <c r="B12" s="173" t="s">
        <v>237</v>
      </c>
      <c r="C12" s="174"/>
      <c r="D12" s="175" t="s">
        <v>238</v>
      </c>
      <c r="E12" s="168">
        <v>2000.0</v>
      </c>
      <c r="F12" s="170"/>
      <c r="G12" s="171">
        <f t="shared" si="1"/>
        <v>19000</v>
      </c>
      <c r="H12" s="60"/>
      <c r="I12" s="60"/>
    </row>
    <row r="13">
      <c r="A13" s="172"/>
      <c r="B13" s="173" t="s">
        <v>185</v>
      </c>
      <c r="C13" s="174"/>
      <c r="D13" s="175" t="s">
        <v>242</v>
      </c>
      <c r="E13" s="168">
        <v>2000.0</v>
      </c>
      <c r="F13" s="170"/>
      <c r="G13" s="171">
        <f t="shared" si="1"/>
        <v>21000</v>
      </c>
      <c r="H13" s="60"/>
      <c r="I13" s="60"/>
    </row>
    <row r="14">
      <c r="A14" s="172"/>
      <c r="B14" s="189" t="s">
        <v>66</v>
      </c>
      <c r="C14" s="174" t="s">
        <v>64</v>
      </c>
      <c r="D14" s="191" t="s">
        <v>67</v>
      </c>
      <c r="E14" s="195">
        <v>2190.0</v>
      </c>
      <c r="F14" s="170"/>
      <c r="G14" s="171">
        <f t="shared" si="1"/>
        <v>23190</v>
      </c>
      <c r="H14" s="60"/>
      <c r="I14" s="60"/>
    </row>
    <row r="15">
      <c r="A15" s="196"/>
      <c r="B15" s="173" t="s">
        <v>82</v>
      </c>
      <c r="C15" s="180" t="s">
        <v>71</v>
      </c>
      <c r="D15" s="197" t="s">
        <v>247</v>
      </c>
      <c r="E15" s="168">
        <v>460.0</v>
      </c>
      <c r="F15" s="170"/>
      <c r="G15" s="171">
        <f t="shared" si="1"/>
        <v>23650</v>
      </c>
      <c r="H15" s="60"/>
      <c r="I15" s="60"/>
    </row>
    <row r="16">
      <c r="A16" s="172"/>
      <c r="B16" s="189" t="s">
        <v>94</v>
      </c>
      <c r="C16" s="174" t="s">
        <v>71</v>
      </c>
      <c r="D16" s="199" t="s">
        <v>249</v>
      </c>
      <c r="E16" s="195">
        <v>300.0</v>
      </c>
      <c r="F16" s="170"/>
      <c r="G16" s="171">
        <f t="shared" si="1"/>
        <v>23950</v>
      </c>
      <c r="H16" s="60"/>
      <c r="I16" s="60"/>
    </row>
    <row r="17">
      <c r="A17" s="203"/>
      <c r="B17" s="189" t="s">
        <v>132</v>
      </c>
      <c r="C17" s="174" t="s">
        <v>64</v>
      </c>
      <c r="D17" s="199" t="s">
        <v>253</v>
      </c>
      <c r="E17" s="195">
        <v>5470.0</v>
      </c>
      <c r="F17" s="170"/>
      <c r="G17" s="171">
        <f t="shared" si="1"/>
        <v>29420</v>
      </c>
      <c r="H17" s="60"/>
      <c r="I17" s="60"/>
    </row>
    <row r="18">
      <c r="A18" s="204"/>
      <c r="B18" s="205" t="s">
        <v>127</v>
      </c>
      <c r="C18" s="174" t="s">
        <v>64</v>
      </c>
      <c r="D18" s="206" t="s">
        <v>254</v>
      </c>
      <c r="E18" s="195">
        <v>4000.0</v>
      </c>
      <c r="F18" s="170"/>
      <c r="G18" s="171">
        <f t="shared" si="1"/>
        <v>33420</v>
      </c>
      <c r="H18" s="60"/>
      <c r="I18" s="60"/>
    </row>
    <row r="19">
      <c r="A19" s="204"/>
      <c r="B19" s="205" t="s">
        <v>156</v>
      </c>
      <c r="C19" s="207" t="s">
        <v>64</v>
      </c>
      <c r="D19" s="208" t="s">
        <v>255</v>
      </c>
      <c r="E19" s="209">
        <v>2000.0</v>
      </c>
      <c r="F19" s="170"/>
      <c r="G19" s="171">
        <f t="shared" si="1"/>
        <v>35420</v>
      </c>
      <c r="H19" s="60"/>
      <c r="I19" s="60"/>
    </row>
    <row r="20">
      <c r="A20" s="210"/>
      <c r="B20" s="205" t="s">
        <v>162</v>
      </c>
      <c r="C20" s="174" t="s">
        <v>71</v>
      </c>
      <c r="D20" s="206" t="s">
        <v>256</v>
      </c>
      <c r="E20" s="195">
        <v>3470.0</v>
      </c>
      <c r="F20" s="170"/>
      <c r="G20" s="171">
        <f t="shared" si="1"/>
        <v>38890</v>
      </c>
      <c r="H20" s="60"/>
      <c r="I20" s="60"/>
    </row>
    <row r="21">
      <c r="A21" s="204"/>
      <c r="B21" s="205" t="s">
        <v>175</v>
      </c>
      <c r="C21" s="174" t="s">
        <v>64</v>
      </c>
      <c r="D21" s="211" t="s">
        <v>257</v>
      </c>
      <c r="E21" s="195">
        <v>1000.0</v>
      </c>
      <c r="F21" s="170"/>
      <c r="G21" s="171">
        <f t="shared" si="1"/>
        <v>39890</v>
      </c>
      <c r="H21" s="60"/>
      <c r="I21" s="60"/>
    </row>
    <row r="22">
      <c r="A22" s="75"/>
      <c r="B22" s="212"/>
      <c r="C22" s="212"/>
      <c r="D22" s="213" t="s">
        <v>195</v>
      </c>
      <c r="E22" s="214">
        <v>2000.0</v>
      </c>
      <c r="F22" s="170"/>
      <c r="G22" s="171">
        <f t="shared" si="1"/>
        <v>41890</v>
      </c>
      <c r="H22" s="60"/>
      <c r="I22" s="60"/>
    </row>
    <row r="23">
      <c r="A23" s="75"/>
      <c r="B23" s="215" t="s">
        <v>258</v>
      </c>
      <c r="C23" s="212"/>
      <c r="D23" s="211" t="s">
        <v>259</v>
      </c>
      <c r="E23" s="214">
        <v>1900.0</v>
      </c>
      <c r="F23" s="170"/>
      <c r="G23" s="171">
        <f t="shared" si="1"/>
        <v>43790</v>
      </c>
      <c r="H23" s="60"/>
      <c r="I23" s="60"/>
    </row>
    <row r="24">
      <c r="A24" s="75"/>
      <c r="B24" s="212"/>
      <c r="C24" s="212"/>
      <c r="D24" s="212"/>
      <c r="E24" s="212"/>
      <c r="F24" s="75"/>
      <c r="G24" s="60"/>
      <c r="H24" s="60"/>
      <c r="I24" s="60"/>
    </row>
    <row r="25">
      <c r="A25" s="75"/>
      <c r="B25" s="212"/>
      <c r="C25" s="212"/>
      <c r="D25" s="212"/>
      <c r="E25" s="212"/>
      <c r="F25" s="75"/>
      <c r="G25" s="60"/>
      <c r="H25" s="60"/>
      <c r="I25" s="60"/>
    </row>
    <row r="26">
      <c r="A26" s="75"/>
      <c r="B26" s="212"/>
      <c r="C26" s="212"/>
      <c r="D26" s="212"/>
      <c r="E26" s="212"/>
      <c r="F26" s="75"/>
      <c r="G26" s="60"/>
      <c r="H26" s="60"/>
      <c r="I26" s="60"/>
    </row>
    <row r="27">
      <c r="A27" s="75"/>
      <c r="B27" s="212"/>
      <c r="C27" s="212"/>
      <c r="D27" s="212"/>
      <c r="E27" s="212"/>
      <c r="F27" s="75"/>
      <c r="G27" s="60"/>
      <c r="H27" s="60"/>
      <c r="I27" s="60"/>
    </row>
    <row r="28">
      <c r="A28" s="75"/>
      <c r="B28" s="212"/>
      <c r="C28" s="212"/>
      <c r="D28" s="212"/>
      <c r="E28" s="212"/>
      <c r="F28" s="75"/>
      <c r="G28" s="60"/>
      <c r="H28" s="60"/>
      <c r="I28" s="60"/>
    </row>
    <row r="29">
      <c r="A29" s="75"/>
      <c r="B29" s="212"/>
      <c r="C29" s="212"/>
      <c r="D29" s="212"/>
      <c r="E29" s="212"/>
      <c r="F29" s="75"/>
      <c r="G29" s="60"/>
      <c r="H29" s="60"/>
      <c r="I29" s="60"/>
    </row>
    <row r="30">
      <c r="A30" s="75"/>
      <c r="B30" s="212"/>
      <c r="C30" s="212"/>
      <c r="D30" s="212"/>
      <c r="E30" s="212"/>
      <c r="F30" s="75"/>
      <c r="G30" s="60"/>
      <c r="H30" s="60"/>
      <c r="I30" s="60"/>
    </row>
    <row r="31">
      <c r="A31" s="75"/>
      <c r="B31" s="212"/>
      <c r="C31" s="212"/>
      <c r="D31" s="212"/>
      <c r="E31" s="212"/>
      <c r="F31" s="75"/>
      <c r="G31" s="60"/>
      <c r="H31" s="60"/>
      <c r="I31" s="60"/>
    </row>
    <row r="32">
      <c r="A32" s="75"/>
      <c r="B32" s="212"/>
      <c r="C32" s="212"/>
      <c r="D32" s="212"/>
      <c r="E32" s="219"/>
      <c r="F32" s="75"/>
      <c r="G32" s="60"/>
      <c r="H32" s="60"/>
      <c r="I32" s="60"/>
    </row>
    <row r="33">
      <c r="A33" s="161"/>
      <c r="B33" s="221"/>
      <c r="C33" s="221"/>
      <c r="D33" s="221"/>
      <c r="E33" s="222"/>
      <c r="F33" s="161"/>
    </row>
    <row r="34">
      <c r="A34" s="161"/>
      <c r="B34" s="221"/>
      <c r="C34" s="221"/>
      <c r="D34" s="221"/>
      <c r="E34" s="221"/>
      <c r="F34" s="161"/>
    </row>
    <row r="35">
      <c r="A35" s="161"/>
      <c r="B35" s="161"/>
      <c r="C35" s="161"/>
      <c r="D35" s="161"/>
      <c r="E35" s="161"/>
      <c r="F35" s="161"/>
    </row>
    <row r="36">
      <c r="A36" s="161"/>
      <c r="B36" s="161"/>
      <c r="C36" s="161"/>
      <c r="D36" s="161"/>
      <c r="E36" s="161"/>
      <c r="F36" s="161"/>
    </row>
  </sheetData>
  <mergeCells count="1">
    <mergeCell ref="A2:G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88"/>
    <col customWidth="1" min="3" max="3" width="30.5"/>
  </cols>
  <sheetData>
    <row r="1">
      <c r="A1" s="160" t="s">
        <v>48</v>
      </c>
    </row>
    <row r="2">
      <c r="A2" s="165" t="s">
        <v>3</v>
      </c>
      <c r="B2" s="165" t="s">
        <v>4</v>
      </c>
      <c r="C2" s="165" t="s">
        <v>88</v>
      </c>
      <c r="D2" s="169"/>
      <c r="E2" s="169"/>
      <c r="F2" s="169"/>
      <c r="G2" s="169"/>
      <c r="H2" s="169"/>
    </row>
    <row r="3">
      <c r="A3" s="59"/>
      <c r="B3" s="57" t="s">
        <v>165</v>
      </c>
      <c r="C3" s="57" t="s">
        <v>202</v>
      </c>
      <c r="D3" s="59"/>
      <c r="E3" s="57">
        <v>8000.0</v>
      </c>
      <c r="F3" s="59"/>
      <c r="G3" s="59"/>
      <c r="H3" s="59"/>
    </row>
    <row r="4">
      <c r="A4" s="59"/>
      <c r="B4" s="57" t="s">
        <v>226</v>
      </c>
      <c r="C4" s="57" t="s">
        <v>202</v>
      </c>
      <c r="D4" s="59"/>
      <c r="E4" s="57">
        <v>6900.0</v>
      </c>
      <c r="F4" s="59"/>
      <c r="G4" s="59"/>
      <c r="H4" s="59"/>
    </row>
    <row r="5">
      <c r="A5" s="59"/>
      <c r="B5" s="59"/>
      <c r="C5" s="132" t="s">
        <v>200</v>
      </c>
      <c r="D5" s="49"/>
      <c r="E5" s="57">
        <v>1400.0</v>
      </c>
      <c r="F5" s="59"/>
      <c r="G5" s="59"/>
      <c r="H5" s="59"/>
    </row>
    <row r="6">
      <c r="A6" s="59"/>
      <c r="B6" s="59"/>
      <c r="C6" s="59"/>
      <c r="D6" s="59"/>
      <c r="E6" s="59"/>
      <c r="F6" s="59"/>
      <c r="G6" s="59"/>
      <c r="H6" s="59"/>
    </row>
    <row r="7">
      <c r="A7" s="59"/>
      <c r="B7" s="59"/>
      <c r="C7" s="59"/>
      <c r="D7" s="59"/>
      <c r="E7" s="59"/>
      <c r="F7" s="59"/>
      <c r="G7" s="59"/>
      <c r="H7" s="59"/>
    </row>
    <row r="8">
      <c r="A8" s="59"/>
      <c r="B8" s="59"/>
      <c r="C8" s="59"/>
      <c r="D8" s="59"/>
      <c r="E8" s="59"/>
      <c r="F8" s="59"/>
      <c r="G8" s="59"/>
      <c r="H8" s="59"/>
    </row>
    <row r="9">
      <c r="A9" s="59"/>
      <c r="B9" s="59"/>
      <c r="C9" s="59"/>
      <c r="D9" s="59"/>
      <c r="E9" s="59"/>
      <c r="F9" s="59"/>
      <c r="G9" s="59"/>
      <c r="H9" s="59"/>
    </row>
    <row r="10">
      <c r="A10" s="59"/>
      <c r="B10" s="59"/>
      <c r="C10" s="59"/>
      <c r="D10" s="59"/>
      <c r="E10" s="59"/>
      <c r="F10" s="59"/>
      <c r="G10" s="59"/>
      <c r="H10" s="59"/>
    </row>
    <row r="11">
      <c r="A11" s="59"/>
      <c r="B11" s="59"/>
      <c r="C11" s="59"/>
      <c r="D11" s="59"/>
      <c r="E11" s="59"/>
      <c r="F11" s="59"/>
      <c r="G11" s="59"/>
      <c r="H11" s="59"/>
    </row>
    <row r="12">
      <c r="A12" s="59"/>
      <c r="B12" s="59"/>
      <c r="C12" s="59"/>
      <c r="D12" s="59"/>
      <c r="E12" s="59"/>
      <c r="F12" s="59"/>
      <c r="G12" s="59"/>
      <c r="H12" s="59"/>
    </row>
    <row r="13">
      <c r="A13" s="59"/>
      <c r="B13" s="59"/>
      <c r="C13" s="59"/>
      <c r="D13" s="59"/>
      <c r="E13" s="59"/>
      <c r="F13" s="59"/>
      <c r="G13" s="59"/>
      <c r="H13" s="59"/>
    </row>
    <row r="14">
      <c r="A14" s="59"/>
      <c r="B14" s="59"/>
      <c r="C14" s="59"/>
      <c r="D14" s="59"/>
      <c r="E14" s="59"/>
      <c r="F14" s="59"/>
      <c r="G14" s="59"/>
      <c r="H14" s="59"/>
    </row>
    <row r="15">
      <c r="A15" s="59"/>
      <c r="B15" s="59"/>
      <c r="C15" s="59"/>
      <c r="D15" s="59"/>
      <c r="E15" s="59"/>
      <c r="F15" s="59"/>
      <c r="G15" s="59"/>
      <c r="H15" s="59"/>
    </row>
    <row r="16">
      <c r="A16" s="193"/>
      <c r="B16" s="193"/>
      <c r="C16" s="193"/>
      <c r="D16" s="193"/>
      <c r="E16" s="193">
        <f>SUM(E3:E15)</f>
        <v>16300</v>
      </c>
      <c r="F16" s="193"/>
      <c r="G16" s="193"/>
      <c r="H16" s="193"/>
    </row>
  </sheetData>
  <mergeCells count="1">
    <mergeCell ref="A1:H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26.13"/>
    <col customWidth="1" min="3" max="3" width="38.88"/>
    <col customWidth="1" min="4" max="4" width="60.63"/>
    <col customWidth="1" min="5" max="5" width="19.0"/>
    <col customWidth="1" min="6" max="6" width="22.13"/>
    <col customWidth="1" min="7" max="7" width="21.38"/>
  </cols>
  <sheetData>
    <row r="1">
      <c r="B1" s="156" t="s">
        <v>50</v>
      </c>
    </row>
    <row r="2">
      <c r="A2" s="80" t="s">
        <v>3</v>
      </c>
      <c r="B2" s="80" t="s">
        <v>4</v>
      </c>
      <c r="C2" s="80" t="s">
        <v>11</v>
      </c>
      <c r="D2" s="80"/>
      <c r="E2" s="80" t="s">
        <v>233</v>
      </c>
      <c r="F2" s="80" t="s">
        <v>235</v>
      </c>
    </row>
    <row r="3">
      <c r="A3" s="60"/>
      <c r="B3" s="182" t="s">
        <v>57</v>
      </c>
      <c r="C3" s="183" t="s">
        <v>236</v>
      </c>
      <c r="D3" s="184" t="s">
        <v>239</v>
      </c>
      <c r="E3" s="185">
        <v>15000.0</v>
      </c>
      <c r="F3" s="186"/>
      <c r="G3" s="187" t="s">
        <v>240</v>
      </c>
      <c r="H3" s="188" t="s">
        <v>241</v>
      </c>
    </row>
    <row r="4">
      <c r="A4" s="60"/>
      <c r="B4" s="182" t="s">
        <v>42</v>
      </c>
      <c r="C4" s="183" t="s">
        <v>236</v>
      </c>
      <c r="D4" s="184" t="s">
        <v>243</v>
      </c>
      <c r="E4" s="185">
        <v>70000.0</v>
      </c>
      <c r="F4" s="186"/>
      <c r="G4" s="190"/>
    </row>
    <row r="5">
      <c r="A5" s="60"/>
      <c r="B5" s="182" t="s">
        <v>198</v>
      </c>
      <c r="C5" s="192" t="s">
        <v>244</v>
      </c>
      <c r="D5" s="194" t="s">
        <v>245</v>
      </c>
      <c r="E5" s="185">
        <v>16000.0</v>
      </c>
      <c r="F5" s="186"/>
      <c r="G5" s="190"/>
    </row>
    <row r="6">
      <c r="A6" s="60"/>
      <c r="B6" s="182" t="s">
        <v>106</v>
      </c>
      <c r="C6" s="183" t="s">
        <v>236</v>
      </c>
      <c r="D6" s="184" t="s">
        <v>246</v>
      </c>
      <c r="E6" s="185">
        <v>70000.0</v>
      </c>
      <c r="F6" s="186"/>
      <c r="G6" s="190"/>
    </row>
    <row r="7">
      <c r="A7" s="60"/>
      <c r="B7" s="182" t="s">
        <v>125</v>
      </c>
      <c r="C7" s="183" t="s">
        <v>236</v>
      </c>
      <c r="D7" s="184" t="s">
        <v>246</v>
      </c>
      <c r="E7" s="185">
        <v>50000.0</v>
      </c>
      <c r="F7" s="186"/>
      <c r="G7" s="190"/>
    </row>
    <row r="8">
      <c r="A8" s="60"/>
      <c r="B8" s="182" t="s">
        <v>109</v>
      </c>
      <c r="C8" s="183" t="s">
        <v>236</v>
      </c>
      <c r="D8" s="184" t="s">
        <v>246</v>
      </c>
      <c r="E8" s="185">
        <v>50000.0</v>
      </c>
      <c r="F8" s="186"/>
      <c r="G8" s="190"/>
    </row>
    <row r="9">
      <c r="A9" s="60"/>
      <c r="B9" s="198" t="s">
        <v>168</v>
      </c>
      <c r="C9" s="192" t="s">
        <v>248</v>
      </c>
      <c r="D9" s="200" t="s">
        <v>250</v>
      </c>
      <c r="E9" s="201">
        <v>10000.0</v>
      </c>
      <c r="F9" s="186"/>
      <c r="G9" s="190"/>
    </row>
    <row r="10">
      <c r="A10" s="60"/>
      <c r="B10" s="198" t="s">
        <v>251</v>
      </c>
      <c r="C10" s="183" t="s">
        <v>248</v>
      </c>
      <c r="D10" s="202" t="s">
        <v>250</v>
      </c>
      <c r="E10" s="201">
        <v>10000.0</v>
      </c>
      <c r="F10" s="60"/>
    </row>
    <row r="11">
      <c r="A11" s="60"/>
      <c r="B11" s="198" t="s">
        <v>206</v>
      </c>
      <c r="C11" s="183" t="s">
        <v>236</v>
      </c>
      <c r="D11" s="184" t="s">
        <v>252</v>
      </c>
      <c r="E11" s="201">
        <v>40000.0</v>
      </c>
      <c r="F11" s="60"/>
    </row>
    <row r="12">
      <c r="A12" s="60"/>
      <c r="B12" s="60"/>
      <c r="C12" s="60"/>
      <c r="D12" s="60"/>
      <c r="E12" s="119">
        <v>10000.0</v>
      </c>
      <c r="F12" s="60"/>
    </row>
    <row r="13">
      <c r="A13" s="60"/>
      <c r="B13" s="60"/>
      <c r="C13" s="60"/>
      <c r="D13" s="60"/>
      <c r="E13" s="60"/>
      <c r="F13" s="60"/>
    </row>
    <row r="14">
      <c r="A14" s="60"/>
      <c r="B14" s="60"/>
      <c r="C14" s="60"/>
      <c r="D14" s="60"/>
      <c r="E14" s="60"/>
      <c r="F14" s="60"/>
    </row>
    <row r="15">
      <c r="A15" s="60"/>
      <c r="B15" s="60"/>
      <c r="C15" s="60"/>
      <c r="D15" s="60"/>
      <c r="E15" s="60"/>
      <c r="F15" s="60"/>
    </row>
    <row r="16">
      <c r="A16" s="60"/>
      <c r="B16" s="60"/>
      <c r="C16" s="60"/>
      <c r="D16" s="60"/>
      <c r="E16" s="60"/>
      <c r="F16" s="60"/>
    </row>
    <row r="17">
      <c r="A17" s="60"/>
      <c r="B17" s="60"/>
      <c r="C17" s="60"/>
      <c r="D17" s="60"/>
      <c r="E17" s="60"/>
      <c r="F17" s="60"/>
    </row>
    <row r="18">
      <c r="A18" s="60"/>
      <c r="B18" s="60"/>
      <c r="C18" s="60"/>
      <c r="D18" s="60"/>
      <c r="E18" s="60"/>
      <c r="F18" s="60"/>
    </row>
    <row r="19">
      <c r="A19" s="60"/>
      <c r="B19" s="60"/>
      <c r="C19" s="60"/>
      <c r="D19" s="60"/>
      <c r="E19" s="60"/>
      <c r="F19" s="60"/>
    </row>
    <row r="20">
      <c r="A20" s="60"/>
      <c r="B20" s="60"/>
      <c r="C20" s="60"/>
      <c r="D20" s="60"/>
      <c r="E20" s="60"/>
      <c r="F20" s="60"/>
    </row>
    <row r="21">
      <c r="A21" s="60"/>
      <c r="B21" s="60"/>
      <c r="C21" s="60"/>
      <c r="D21" s="60"/>
      <c r="E21" s="60"/>
      <c r="F21" s="60"/>
    </row>
    <row r="22">
      <c r="A22" s="60"/>
      <c r="B22" s="60"/>
      <c r="C22" s="60"/>
      <c r="D22" s="60"/>
      <c r="E22" s="64">
        <f>SUM(E3:E21)</f>
        <v>341000</v>
      </c>
      <c r="F22" s="60"/>
    </row>
  </sheetData>
  <mergeCells count="1">
    <mergeCell ref="B1:F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23.38"/>
    <col customWidth="1" min="3" max="3" width="74.25"/>
    <col customWidth="1" min="4" max="7" width="23.38"/>
  </cols>
  <sheetData>
    <row r="1">
      <c r="B1" s="216"/>
      <c r="C1" s="217" t="s">
        <v>52</v>
      </c>
      <c r="D1" s="1"/>
      <c r="E1" s="216"/>
      <c r="F1" s="216"/>
    </row>
    <row r="2">
      <c r="A2" s="9" t="s">
        <v>3</v>
      </c>
      <c r="B2" s="9" t="s">
        <v>4</v>
      </c>
      <c r="C2" s="9" t="s">
        <v>88</v>
      </c>
      <c r="D2" s="105"/>
      <c r="E2" s="105"/>
      <c r="F2" s="105"/>
      <c r="G2" s="105"/>
      <c r="H2" s="105"/>
    </row>
    <row r="3">
      <c r="A3" s="80">
        <v>1.0</v>
      </c>
      <c r="B3" s="80" t="s">
        <v>82</v>
      </c>
      <c r="C3" s="218" t="s">
        <v>83</v>
      </c>
      <c r="D3" s="138">
        <v>3500.0</v>
      </c>
      <c r="E3" s="80"/>
      <c r="F3" s="81"/>
      <c r="G3" s="81"/>
      <c r="H3" s="81"/>
    </row>
    <row r="4">
      <c r="A4" s="80">
        <v>2.0</v>
      </c>
      <c r="B4" s="81"/>
      <c r="C4" s="77" t="s">
        <v>128</v>
      </c>
      <c r="D4" s="70">
        <v>2650.0</v>
      </c>
      <c r="E4" s="81"/>
      <c r="F4" s="81"/>
      <c r="G4" s="81"/>
      <c r="H4" s="81"/>
    </row>
    <row r="5">
      <c r="A5" s="81"/>
      <c r="B5" s="80" t="s">
        <v>129</v>
      </c>
      <c r="C5" s="80" t="s">
        <v>260</v>
      </c>
      <c r="D5" s="220">
        <v>1400.0</v>
      </c>
      <c r="E5" s="81"/>
      <c r="F5" s="81"/>
      <c r="G5" s="81"/>
      <c r="H5" s="81"/>
    </row>
    <row r="6">
      <c r="A6" s="81"/>
      <c r="B6" s="81"/>
      <c r="C6" s="223" t="s">
        <v>261</v>
      </c>
      <c r="D6" s="220">
        <v>2000.0</v>
      </c>
      <c r="E6" s="81"/>
      <c r="F6" s="81"/>
      <c r="G6" s="81"/>
      <c r="H6" s="81"/>
    </row>
    <row r="7">
      <c r="A7" s="81"/>
      <c r="B7" s="81"/>
      <c r="C7" s="80" t="s">
        <v>260</v>
      </c>
      <c r="D7" s="141">
        <v>4050.0</v>
      </c>
      <c r="E7" s="81"/>
      <c r="F7" s="81"/>
      <c r="G7" s="81"/>
      <c r="H7" s="81"/>
    </row>
    <row r="8">
      <c r="A8" s="81"/>
      <c r="B8" s="81"/>
      <c r="C8" s="81"/>
      <c r="D8" s="224"/>
      <c r="E8" s="81"/>
      <c r="F8" s="81"/>
      <c r="G8" s="81"/>
      <c r="H8" s="81"/>
    </row>
    <row r="9">
      <c r="A9" s="81"/>
      <c r="B9" s="81"/>
      <c r="C9" s="81"/>
      <c r="D9" s="224"/>
      <c r="E9" s="81"/>
      <c r="F9" s="81"/>
      <c r="G9" s="81"/>
      <c r="H9" s="81"/>
    </row>
    <row r="10">
      <c r="A10" s="81"/>
      <c r="B10" s="81"/>
      <c r="C10" s="81"/>
      <c r="D10" s="81"/>
      <c r="E10" s="81"/>
      <c r="F10" s="81"/>
      <c r="G10" s="81"/>
      <c r="H10" s="81"/>
    </row>
    <row r="11">
      <c r="A11" s="81"/>
      <c r="B11" s="81"/>
      <c r="C11" s="81"/>
      <c r="D11" s="81"/>
      <c r="E11" s="81"/>
      <c r="F11" s="81"/>
      <c r="G11" s="81"/>
      <c r="H11" s="81"/>
    </row>
    <row r="12">
      <c r="A12" s="81"/>
      <c r="B12" s="81"/>
      <c r="C12" s="81"/>
      <c r="D12" s="81"/>
      <c r="E12" s="81"/>
      <c r="F12" s="81"/>
      <c r="G12" s="81"/>
      <c r="H12" s="81"/>
    </row>
    <row r="13">
      <c r="D13" s="43">
        <f>SUM(D3:D12)</f>
        <v>13600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